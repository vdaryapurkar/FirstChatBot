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oot Cause Analysis" sheetId="2" state="visible" r:id="rId2"/>
    <sheet name="credit_mismatch" sheetId="3" state="visible" r:id="rId3"/>
    <sheet name="debit_mismatch" sheetId="4" state="visible" r:id="rId4"/>
    <sheet name="grossvaluesum_mismatch" sheetId="5" state="visible" r:id="rId5"/>
    <sheet name="pricequantitysum_mismatch" sheetId="6" state="visible" r:id="rId6"/>
    <sheet name="qty_mismatch" sheetId="7" state="visible" r:id="rId7"/>
    <sheet name="rowcountsum_mismatch" sheetId="8" state="visible" r:id="rId8"/>
  </sheets>
  <definedNames/>
  <calcPr calcId="124519" fullCalcOnLoad="1"/>
</workbook>
</file>

<file path=xl/styles.xml><?xml version="1.0" encoding="utf-8"?>
<styleSheet xmlns="http://schemas.openxmlformats.org/spreadsheetml/2006/main">
  <numFmts count="1">
    <numFmt numFmtId="164" formatCode="0.0000"/>
  </numFmts>
  <fonts count="6">
    <font>
      <name val="Calibri"/>
      <family val="2"/>
      <color theme="1"/>
      <sz val="11"/>
      <scheme val="minor"/>
    </font>
    <font>
      <name val="Arial"/>
      <b val="1"/>
      <sz val="14"/>
    </font>
    <font>
      <name val="Arial"/>
      <i val="1"/>
      <color rgb="00595959"/>
      <sz val="11"/>
    </font>
    <font>
      <name val="Arial"/>
      <b val="1"/>
      <color rgb="00FFFFFF"/>
      <sz val="11"/>
    </font>
    <font>
      <name val="Arial"/>
      <sz val="10"/>
    </font>
    <font>
      <name val="Arial"/>
      <b val="1"/>
      <sz val="10"/>
    </font>
  </fonts>
  <fills count="8">
    <fill>
      <patternFill/>
    </fill>
    <fill>
      <patternFill patternType="gray125"/>
    </fill>
    <fill>
      <patternFill patternType="solid">
        <fgColor rgb="00305496"/>
      </patternFill>
    </fill>
    <fill>
      <patternFill patternType="solid">
        <fgColor rgb="00D9D9D9"/>
      </patternFill>
    </fill>
    <fill>
      <patternFill patternType="solid">
        <fgColor rgb="00DCE6F7"/>
      </patternFill>
    </fill>
    <fill>
      <patternFill patternType="solid">
        <fgColor rgb="00FDEBD3"/>
      </patternFill>
    </fill>
    <fill>
      <patternFill patternType="solid">
        <fgColor rgb="00E2EFDA"/>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pivotButton="0" quotePrefix="0" xfId="0"/>
    <xf numFmtId="0" fontId="5" fillId="0" borderId="0" pivotButton="0" quotePrefix="0" xfId="0"/>
    <xf numFmtId="0" fontId="4" fillId="0" borderId="0" applyAlignment="1" pivotButton="0" quotePrefix="0" xfId="0">
      <alignment vertical="top" wrapText="1"/>
    </xf>
    <xf numFmtId="0" fontId="4" fillId="0" borderId="1" applyAlignment="1" pivotButton="0" quotePrefix="0" xfId="0">
      <alignment vertical="top" wrapText="1"/>
    </xf>
    <xf numFmtId="0" fontId="5" fillId="3" borderId="0" pivotButton="0" quotePrefix="0" xfId="0"/>
    <xf numFmtId="0" fontId="4" fillId="4" borderId="1" pivotButton="0" quotePrefix="0" xfId="0"/>
    <xf numFmtId="164" fontId="4" fillId="4" borderId="1" pivotButton="0" quotePrefix="0" xfId="0"/>
    <xf numFmtId="0" fontId="4" fillId="5" borderId="1" pivotButton="0" quotePrefix="0" xfId="0"/>
    <xf numFmtId="164" fontId="4" fillId="5" borderId="1" pivotButton="0" quotePrefix="0" xfId="0"/>
    <xf numFmtId="0" fontId="4" fillId="6" borderId="1" pivotButton="0" quotePrefix="0" xfId="0"/>
    <xf numFmtId="164" fontId="4" fillId="6" borderId="1" pivotButton="0" quotePrefix="0" xfId="0"/>
    <xf numFmtId="0" fontId="4" fillId="7" borderId="1" pivotButton="0" quotePrefix="0" xfId="0"/>
    <xf numFmtId="164" fontId="4"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2"/>
  <sheetViews>
    <sheetView showGridLines="0" workbookViewId="0">
      <selection activeCell="A1" sqref="A1"/>
    </sheetView>
  </sheetViews>
  <sheetFormatPr baseColWidth="8" defaultRowHeight="15"/>
  <cols>
    <col width="22" customWidth="1" min="1" max="1"/>
    <col width="26" customWidth="1" min="2" max="2"/>
    <col width="10" customWidth="1" min="3" max="3"/>
    <col width="24" customWidth="1" min="4" max="4"/>
    <col width="60" customWidth="1" min="5" max="5"/>
  </cols>
  <sheetData>
    <row r="1" ht="22" customHeight="1">
      <c r="A1" s="1" t="inlineStr">
        <is>
          <t>Recon-CI Triage Analysis - Summary</t>
        </is>
      </c>
    </row>
    <row r="2">
      <c r="A2" s="2" t="inlineStr">
        <is>
          <t>Generated 2026-08-11 07:22 UTC  |  Sources: unexplained_result_findetail_position.xlsx</t>
        </is>
      </c>
    </row>
    <row r="4">
      <c r="A4" s="3" t="inlineStr">
        <is>
          <t>Source file</t>
        </is>
      </c>
      <c r="B4" s="3" t="inlineStr">
        <is>
          <t>Process type</t>
        </is>
      </c>
    </row>
    <row r="5">
      <c r="A5" s="4" t="inlineStr">
        <is>
          <t>unexplained_result_findetail_position.xlsx</t>
        </is>
      </c>
      <c r="B5" s="4" t="inlineStr">
        <is>
          <t>Settlement</t>
        </is>
      </c>
    </row>
    <row r="7">
      <c r="A7" s="5" t="inlineStr">
        <is>
          <t>Executive Summary</t>
        </is>
      </c>
    </row>
    <row r="8">
      <c r="A8" s="6" t="inlineStr">
        <is>
          <t>A Settlement position reconciliation file (unexplained_result_findetail_position.xlsx) contains 42 rows, of which 36 flagged rows (85.7% break rate) across 9 distinct (column, mismatchtype) issues. The dominant finding is 35 new positions appearing post-reconciliation, primarily Heating Degree Day swaps and transportation positions, with all quantity/value/debit/credit fields showing zero or novel values in the pre-state. A secondary finding is 3 "mismatch"-type positions with genuine value differences in Gas Transportation and ULSD products, reflecting source-level row-count reductions (pre-post gap of 2–11 rows) and debit/value drops of 15–16K each. Minor quantity rounding issues (±0.46 units) and one missing position (Houston Ship Channel, natural gas) round out the breaks. The 35 new positions and 3 genuine mismatches are correlated across debit, credit, quantity, value, and row-count flags; qty/pricequantity show identical mismatch row sets, suggesting systematic new-booking or late-arrival data.</t>
        </is>
      </c>
    </row>
    <row r="9"/>
    <row r="10"/>
    <row r="11"/>
    <row r="12"/>
    <row r="14">
      <c r="A14" s="5" t="inlineStr">
        <is>
          <t>Bug Report (copy into TFS to file an investigation ticket)</t>
        </is>
      </c>
    </row>
    <row r="15">
      <c r="A15" s="5" t="inlineStr">
        <is>
          <t>Synopsis</t>
        </is>
      </c>
    </row>
    <row r="16">
      <c r="A16" s="6" t="inlineStr">
        <is>
          <t>Settlement reconciliation: 35 new HDD/transportation positions (5.2B gross value), 3 row-reduction value drops, 1 missing position, 3 rounding artifacts</t>
        </is>
      </c>
    </row>
    <row r="17">
      <c r="A17" s="5" t="inlineStr">
        <is>
          <t>Description</t>
        </is>
      </c>
    </row>
    <row r="18">
      <c r="A18" s="6" t="inlineStr">
        <is>
          <t>Settlement position reconciliation (unexplained_result_findetail_position.xlsx) shows 36 flagged rows (85.7% of 42) across 9 mismatch categories. Key findings:
1. qty_mismatch / new_post: 35 positions absent in pre (pre_quantitysum all 0), present in post (post_quantitysum 0–32,500; mean 7,829 units). Includes 30 Heating Degree Day swaps (PHL, BOS, Cincinnati airports), 1 Gas Transportation (Tennessee Z4-200), 4 other commodities. Gross post-values range 0–13.13M (mean 5.21M). SWAP positions exhibit symmetric debit/credit leg pairs (e.g., pos 4676738: debit 1.854M / credit 1.990M). Post rowcountsum=1–2 per position, consistent with single-/paired-leg structure. All post values are economically reasonable; no data corruption evident. Root cause: likely legitimate new bookings or settlement instructions processed between pre and post snapshots. Recommend pulling source findetail records and verifying with trade booking system.
2. debit_mismatch / mismatch (and corresponding grossvaluesum_mismatch / mismatch): 3 positions with value reductions on existing positions despite matching pre/post quantity:
   - Position 4893021 (TET M2, Gas Transportation): pre qty 786 → post qty 786 (no change), pre debit 32,827.50 → post 17,685 (−46.1%), pre rowcount 8 → post rowcount 6 (−2 rows).
   - Position 4760336 (PGE CG, Gas Transportation): pre qty 1,897 → post qty 1,897, pre debit 28,037.72 → post 11,651.51 (−58.5%), pre rowcount 14 → post rowcount 3 (−11 rows, largest consolidation).
   - Position 4902289 (Hopewell Plant, ULSD): pre qty 0 → post qty 0, pre debit 0 → post debit 2,370.13 (new entry), pre rowcount 1 → post rowcount 2 (+1 row).
   Root cause: underlying detail-row consolidation (deletion/merger) or splitting between snapshots. PGE CG consolidation from 14 to 3 rows suggests batch settlement or duplicate elimination. Recommend retrieving pre/post findetail tables and reconciling row-by-row against settlement batches and adjustment logs.
3. qty_mismatch / mismatch (and corresponding pricequantitysum_mismatch / mismatch): 3 positions with minor quantity rounding:
   - Position 1248020 (Gas Storage, Chicago City Gates): pre 5833.3333 → post 5833 (−0.3333 units).
   - Position 2706967 (Gas Storage, Worsham Storage): pre 2180.5393 → post 2181 (+0.4607 units).
   - Position 3718624 (REC Texas, REC V2026): pre 24910.16 → post 24910 (−0.16 units).
   Pre/post debit, credit, and grossvalue all equal across all three positions, indicating no downstream settlement impact. Root cause: display-layer or precision rounding artifact. No action required unless source data confirms fractional units are legitimate.
4. qty_mismatch / missing_position_post (and all other flags: debit, credit, value, pricequantity, rowcount all missing_position_post): 1 position entirely deleted:
   - Position 3247645 (Houston Ship Channel, Natural Gas, BUY, trade 1787963): pre rowcount 1 → post rowcount 0. All pre and post quantity/debit/credit/value are 0, so no economic loss. Root cause: expired settlement instruction, placeholder, or purged closed position. Recommend confirming deletion intent with front office.
All 36 flagged rows exhibit perfect correlation across flags within each (column, mismatchtype) pair, indicating systematic rather than random breaks. High confidence that 35 new positions are legitimate bookings and 3 value mismatches are detail-level consolidations. Rounding and missing position are low-priority or expected.</t>
        </is>
      </c>
    </row>
    <row r="19"/>
    <row r="20"/>
    <row r="21"/>
    <row r="22"/>
    <row r="23"/>
    <row r="24"/>
    <row r="25"/>
    <row r="26"/>
    <row r="27"/>
    <row r="29">
      <c r="A29" s="3" t="inlineStr">
        <is>
          <t>Issue (column)</t>
        </is>
      </c>
      <c r="B29" s="3" t="inlineStr">
        <is>
          <t>Mismatch Type</t>
        </is>
      </c>
      <c r="C29" s="3" t="inlineStr">
        <is>
          <t>Count</t>
        </is>
      </c>
      <c r="D29" s="3" t="inlineStr">
        <is>
          <t>Process Type(s)</t>
        </is>
      </c>
      <c r="E29" s="3" t="inlineStr">
        <is>
          <t>Description</t>
        </is>
      </c>
    </row>
    <row r="30">
      <c r="A30" s="7" t="inlineStr">
        <is>
          <t>credit_mismatch</t>
        </is>
      </c>
      <c r="B30" s="7" t="inlineStr">
        <is>
          <t>New position (post only)</t>
        </is>
      </c>
      <c r="C30" s="7" t="n">
        <v>35</v>
      </c>
      <c r="D30" s="7" t="inlineStr">
        <is>
          <t>Settlement</t>
        </is>
      </c>
      <c r="E30" s="7" t="inlineStr">
        <is>
          <t>35 new positions with post_creditsum ranging 0–6,872K (mean 2.55M); highly correlated with debit_mismatch/new_post. SWAP positions exhibit near-symmetrical debit/credit leg structure (debit on one side, credit on other).</t>
        </is>
      </c>
    </row>
    <row r="31">
      <c r="A31" s="7" t="inlineStr">
        <is>
          <t>credit_mismatch</t>
        </is>
      </c>
      <c r="B31" s="7" t="inlineStr">
        <is>
          <t>Missing position (post)</t>
        </is>
      </c>
      <c r="C31" s="7" t="n">
        <v>1</v>
      </c>
      <c r="D31" s="7" t="inlineStr">
        <is>
          <t>Settlement</t>
        </is>
      </c>
      <c r="E31" s="7" t="inlineStr">
        <is>
          <t>1 position (Houston Ship Channel) with pre_creditsum=0, post_creditsum=0; position deleted.</t>
        </is>
      </c>
    </row>
    <row r="32">
      <c r="A32" s="7" t="inlineStr">
        <is>
          <t>credit_mismatch</t>
        </is>
      </c>
      <c r="B32" s="7" t="inlineStr">
        <is>
          <t>No issue</t>
        </is>
      </c>
      <c r="C32" s="7" t="n">
        <v>6</v>
      </c>
      <c r="D32" s="7" t="inlineStr"/>
      <c r="E32" s="7" t="inlineStr"/>
    </row>
    <row r="33">
      <c r="A33" s="7" t="inlineStr">
        <is>
          <t>debit_mismatch</t>
        </is>
      </c>
      <c r="B33" s="7" t="inlineStr">
        <is>
          <t>Mismatch</t>
        </is>
      </c>
      <c r="C33" s="7" t="n">
        <v>3</v>
      </c>
      <c r="D33" s="7" t="inlineStr">
        <is>
          <t>Settlement</t>
        </is>
      </c>
      <c r="E33" s="7" t="inlineStr">
        <is>
          <t>3 positions with genuine debit value reductions on positions with matching pre/post quantities: TET M2 (−15,142.50), PGE CG (−16,386.21), Hopewell Plant ULSD (+2,370.13). All have row-count reductions (8→6, 14→3, 1→2), suggesting consolidated or split settlement records.</t>
        </is>
      </c>
    </row>
    <row r="34">
      <c r="A34" s="7" t="inlineStr">
        <is>
          <t>debit_mismatch</t>
        </is>
      </c>
      <c r="B34" s="7" t="inlineStr">
        <is>
          <t>New position (post only)</t>
        </is>
      </c>
      <c r="C34" s="7" t="n">
        <v>35</v>
      </c>
      <c r="D34" s="7" t="inlineStr">
        <is>
          <t>Settlement</t>
        </is>
      </c>
      <c r="E34" s="7" t="inlineStr">
        <is>
          <t>35 new positions with post_debitsum ranging 0–6,872K (mean 2.66M); 30 HDD swaps with substantial debit values (1–7M), 5 other products with lower debits or zero.</t>
        </is>
      </c>
    </row>
    <row r="35">
      <c r="A35" s="7" t="inlineStr">
        <is>
          <t>debit_mismatch</t>
        </is>
      </c>
      <c r="B35" s="7" t="inlineStr">
        <is>
          <t>Missing position (post)</t>
        </is>
      </c>
      <c r="C35" s="7" t="n">
        <v>1</v>
      </c>
      <c r="D35" s="7" t="inlineStr">
        <is>
          <t>Settlement</t>
        </is>
      </c>
      <c r="E35" s="7" t="inlineStr">
        <is>
          <t>1 position (Houston Ship Channel, trade 1787963) with pre_debitsum=0, post_debitsum=0; position deleted entirely.</t>
        </is>
      </c>
    </row>
    <row r="36">
      <c r="A36" s="7" t="inlineStr">
        <is>
          <t>debit_mismatch</t>
        </is>
      </c>
      <c r="B36" s="7" t="inlineStr">
        <is>
          <t>No issue</t>
        </is>
      </c>
      <c r="C36" s="7" t="n">
        <v>3</v>
      </c>
      <c r="D36" s="7" t="inlineStr"/>
      <c r="E36" s="7" t="inlineStr"/>
    </row>
    <row r="37">
      <c r="A37" s="7" t="inlineStr">
        <is>
          <t>grossvaluesum_mismatch</t>
        </is>
      </c>
      <c r="B37" s="7" t="inlineStr">
        <is>
          <t>Mismatch</t>
        </is>
      </c>
      <c r="C37" s="7" t="n">
        <v>3</v>
      </c>
      <c r="D37" s="7" t="inlineStr">
        <is>
          <t>Settlement</t>
        </is>
      </c>
      <c r="E37" s="7" t="inlineStr">
        <is>
          <t>3 positions with value decreases matching debit_mismatch/mismatch (TET M2 −15K, PGE CG −16K, ULSD +2K) due to underlying row consolidation/changes.</t>
        </is>
      </c>
    </row>
    <row r="38">
      <c r="A38" s="7" t="inlineStr">
        <is>
          <t>grossvaluesum_mismatch</t>
        </is>
      </c>
      <c r="B38" s="7" t="inlineStr">
        <is>
          <t>New position (post only)</t>
        </is>
      </c>
      <c r="C38" s="7" t="n">
        <v>35</v>
      </c>
      <c r="D38" s="7" t="inlineStr">
        <is>
          <t>Settlement</t>
        </is>
      </c>
      <c r="E38" s="7" t="inlineStr">
        <is>
          <t>35 new positions with post_grossvaluesum ranging 0–13.13M (mean 5.21M); value totals match sum of debit and credit legs on SWAP positions (e.g., position 4676738: 1853823+1989517=3843340).</t>
        </is>
      </c>
    </row>
    <row r="39">
      <c r="A39" s="7" t="inlineStr">
        <is>
          <t>grossvaluesum_mismatch</t>
        </is>
      </c>
      <c r="B39" s="7" t="inlineStr">
        <is>
          <t>Missing position (post)</t>
        </is>
      </c>
      <c r="C39" s="7" t="n">
        <v>1</v>
      </c>
      <c r="D39" s="7" t="inlineStr">
        <is>
          <t>Settlement</t>
        </is>
      </c>
      <c r="E39" s="7" t="inlineStr">
        <is>
          <t>1 position (Houston Ship Channel) deleted; pre_grossvaluesum=0, post_grossvaluesum=0.</t>
        </is>
      </c>
    </row>
    <row r="40">
      <c r="A40" s="7" t="inlineStr">
        <is>
          <t>grossvaluesum_mismatch</t>
        </is>
      </c>
      <c r="B40" s="7" t="inlineStr">
        <is>
          <t>No issue</t>
        </is>
      </c>
      <c r="C40" s="7" t="n">
        <v>3</v>
      </c>
      <c r="D40" s="7" t="inlineStr"/>
      <c r="E40" s="7" t="inlineStr"/>
    </row>
    <row r="41">
      <c r="A41" s="7" t="inlineStr">
        <is>
          <t>pricequantitysum_mismatch</t>
        </is>
      </c>
      <c r="B41" s="7" t="inlineStr">
        <is>
          <t>Mismatch</t>
        </is>
      </c>
      <c r="C41" s="7" t="n">
        <v>3</v>
      </c>
      <c r="D41" s="7" t="inlineStr">
        <is>
          <t>Settlement</t>
        </is>
      </c>
      <c r="E41" s="7" t="inlineStr">
        <is>
          <t>3 positions with rounding (±0.46 units) on quantity; pre/post pricequantitysum mismatch mirrors qty_mismatch/mismatch.</t>
        </is>
      </c>
    </row>
    <row r="42">
      <c r="A42" s="7" t="inlineStr">
        <is>
          <t>pricequantitysum_mismatch</t>
        </is>
      </c>
      <c r="B42" s="7" t="inlineStr">
        <is>
          <t>New position (post only)</t>
        </is>
      </c>
      <c r="C42" s="7" t="n">
        <v>35</v>
      </c>
      <c r="D42" s="7" t="inlineStr">
        <is>
          <t>Settlement</t>
        </is>
      </c>
      <c r="E42" s="7" t="inlineStr">
        <is>
          <t>35 new positions with post_pricequantitysum matching post_quantitysum (doubled for SWAP positions due to 2 rows); ranges 0–32,500 (mean 10,943).</t>
        </is>
      </c>
    </row>
    <row r="43">
      <c r="A43" s="7" t="inlineStr">
        <is>
          <t>pricequantitysum_mismatch</t>
        </is>
      </c>
      <c r="B43" s="7" t="inlineStr">
        <is>
          <t>Missing position (post)</t>
        </is>
      </c>
      <c r="C43" s="7" t="n">
        <v>1</v>
      </c>
      <c r="D43" s="7" t="inlineStr">
        <is>
          <t>Settlement</t>
        </is>
      </c>
      <c r="E43" s="7" t="inlineStr">
        <is>
          <t>1 position (Houston Ship Channel) deleted; pre_pricequantitysum=0, post_pricequantitysum=0.</t>
        </is>
      </c>
    </row>
    <row r="44">
      <c r="A44" s="7" t="inlineStr">
        <is>
          <t>pricequantitysum_mismatch</t>
        </is>
      </c>
      <c r="B44" s="7" t="inlineStr">
        <is>
          <t>No issue</t>
        </is>
      </c>
      <c r="C44" s="7" t="n">
        <v>3</v>
      </c>
      <c r="D44" s="7" t="inlineStr"/>
      <c r="E44" s="7" t="inlineStr"/>
    </row>
    <row r="45">
      <c r="A45" s="7" t="inlineStr">
        <is>
          <t>qty_mismatch</t>
        </is>
      </c>
      <c r="B45" s="7" t="inlineStr">
        <is>
          <t>Mismatch</t>
        </is>
      </c>
      <c r="C45" s="7" t="n">
        <v>3</v>
      </c>
      <c r="D45" s="7" t="inlineStr">
        <is>
          <t>Settlement</t>
        </is>
      </c>
      <c r="E45" s="7" t="inlineStr">
        <is>
          <t>3 positions with quantity rounding on existing positions: Gas Storage (Chicago City Gates, Worsham Storage) and REC Texas (REC V2026) each show 0.16–0.46 unit differences; no impact on gross value despite quantity change.</t>
        </is>
      </c>
    </row>
    <row r="46">
      <c r="A46" s="7" t="inlineStr">
        <is>
          <t>qty_mismatch</t>
        </is>
      </c>
      <c r="B46" s="7" t="inlineStr">
        <is>
          <t>New position (post only)</t>
        </is>
      </c>
      <c r="C46" s="7" t="n">
        <v>35</v>
      </c>
      <c r="D46" s="7" t="inlineStr">
        <is>
          <t>Settlement</t>
        </is>
      </c>
      <c r="E46" s="7" t="inlineStr">
        <is>
          <t>35 positions newly added post-reconciliation with zero pre_quantitysum; quantities range 0–32,500 units (mean 7,829). Dominated by Heating Degree Day swaps at PHL, BOS, Cincinnati airports and Gas Transportation. All exhibit symmetrical flags across debit, credit, and value columns.</t>
        </is>
      </c>
    </row>
    <row r="47">
      <c r="A47" s="7" t="inlineStr">
        <is>
          <t>qty_mismatch</t>
        </is>
      </c>
      <c r="B47" s="7" t="inlineStr">
        <is>
          <t>Missing position (post)</t>
        </is>
      </c>
      <c r="C47" s="7" t="n">
        <v>1</v>
      </c>
      <c r="D47" s="7" t="inlineStr">
        <is>
          <t>Settlement</t>
        </is>
      </c>
      <c r="E47" s="7" t="inlineStr">
        <is>
          <t>1 position (Houston Ship Channel, Natural Gas, BUY, position 3247645, trade 1787963) present in pre with 0 quantity, absent in post; pre_rowcountsum=1, post_rowcountsum=0.</t>
        </is>
      </c>
    </row>
    <row r="48">
      <c r="A48" s="7" t="inlineStr">
        <is>
          <t>qty_mismatch</t>
        </is>
      </c>
      <c r="B48" s="7" t="inlineStr">
        <is>
          <t>No issue</t>
        </is>
      </c>
      <c r="C48" s="7" t="n">
        <v>3</v>
      </c>
      <c r="D48" s="7" t="inlineStr"/>
      <c r="E48" s="7" t="inlineStr"/>
    </row>
    <row r="49">
      <c r="A49" s="7" t="inlineStr">
        <is>
          <t>rowcountsum_mismatch</t>
        </is>
      </c>
      <c r="B49" s="7" t="inlineStr">
        <is>
          <t>Mismatch</t>
        </is>
      </c>
      <c r="C49" s="7" t="n">
        <v>3</v>
      </c>
      <c r="D49" s="7" t="inlineStr">
        <is>
          <t>Settlement</t>
        </is>
      </c>
      <c r="E49" s="7" t="inlineStr">
        <is>
          <t>3 positions with row-count reductions: TET M2 (8→6, −2 rows), PGE CG (14→3, −11 rows), ULSD (1→2, +1 row). Row-level consolidation or splitting explains debit/value drift.</t>
        </is>
      </c>
    </row>
    <row r="50">
      <c r="A50" s="7" t="inlineStr">
        <is>
          <t>rowcountsum_mismatch</t>
        </is>
      </c>
      <c r="B50" s="7" t="inlineStr">
        <is>
          <t>New position (post only)</t>
        </is>
      </c>
      <c r="C50" s="7" t="n">
        <v>35</v>
      </c>
      <c r="D50" s="7" t="inlineStr">
        <is>
          <t>Settlement</t>
        </is>
      </c>
      <c r="E50" s="7" t="inlineStr">
        <is>
          <t>35 new positions with post_rowcountsum=1 or 2 (mean 1.8); single-leg positions show count=1, SWAP pairs show count=2 (debit leg + credit leg).</t>
        </is>
      </c>
    </row>
    <row r="51">
      <c r="A51" s="7" t="inlineStr">
        <is>
          <t>rowcountsum_mismatch</t>
        </is>
      </c>
      <c r="B51" s="7" t="inlineStr">
        <is>
          <t>Missing position (post)</t>
        </is>
      </c>
      <c r="C51" s="7" t="n">
        <v>1</v>
      </c>
      <c r="D51" s="7" t="inlineStr">
        <is>
          <t>Settlement</t>
        </is>
      </c>
      <c r="E51" s="7" t="inlineStr">
        <is>
          <t>1 position (Houston Ship Channel) with pre_rowcountsum=1, post_rowcountsum=0; constant offset of −1.0 row.</t>
        </is>
      </c>
    </row>
    <row r="52">
      <c r="A52" s="7" t="inlineStr">
        <is>
          <t>rowcountsum_mismatch</t>
        </is>
      </c>
      <c r="B52" s="7" t="inlineStr">
        <is>
          <t>No issue</t>
        </is>
      </c>
      <c r="C52" s="7" t="n">
        <v>3</v>
      </c>
      <c r="D52" s="7" t="inlineStr"/>
      <c r="E52" s="7" t="inlineStr"/>
    </row>
  </sheetData>
  <mergeCells count="3">
    <mergeCell ref="A18:F27"/>
    <mergeCell ref="A16:F16"/>
    <mergeCell ref="A8:F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showGridLines="0" workbookViewId="0">
      <selection activeCell="A1" sqref="A1"/>
    </sheetView>
  </sheetViews>
  <sheetFormatPr baseColWidth="8" defaultRowHeight="15"/>
  <cols>
    <col width="28" customWidth="1" min="1" max="1"/>
    <col width="16" customWidth="1" min="2" max="2"/>
    <col width="22" customWidth="1" min="3" max="3"/>
    <col width="16" customWidth="1" min="4" max="4"/>
    <col width="45" customWidth="1" min="5" max="5"/>
    <col width="40" customWidth="1" min="6" max="6"/>
    <col width="22" customWidth="1" min="7" max="7"/>
    <col width="12" customWidth="1" min="8" max="8"/>
  </cols>
  <sheetData>
    <row r="1">
      <c r="A1" s="1" t="inlineStr">
        <is>
          <t>Root Cause Analysis</t>
        </is>
      </c>
    </row>
    <row r="3">
      <c r="A3" s="3" t="inlineStr">
        <is>
          <t>Issue</t>
        </is>
      </c>
      <c r="B3" s="3" t="inlineStr">
        <is>
          <t>Column</t>
        </is>
      </c>
      <c r="C3" s="3" t="inlineStr">
        <is>
          <t>Mismatch Type</t>
        </is>
      </c>
      <c r="D3" s="3" t="inlineStr">
        <is>
          <t>Process Type</t>
        </is>
      </c>
      <c r="E3" s="3" t="inlineStr">
        <is>
          <t>Explanation</t>
        </is>
      </c>
      <c r="F3" s="3" t="inlineStr">
        <is>
          <t>Evidence</t>
        </is>
      </c>
      <c r="G3" s="3" t="inlineStr">
        <is>
          <t>Affected Scope</t>
        </is>
      </c>
      <c r="H3" s="3" t="inlineStr">
        <is>
          <t>Confidence</t>
        </is>
      </c>
    </row>
    <row r="4" ht="90" customHeight="1">
      <c r="A4" s="7" t="inlineStr">
        <is>
          <t>35 new positions appearing post-reconciliation (new_post across qty, debit, credit, value, pricequantity, rowcount)</t>
        </is>
      </c>
      <c r="B4" s="7" t="inlineStr"/>
      <c r="C4" s="7" t="inlineStr"/>
      <c r="D4" s="7" t="inlineStr"/>
      <c r="E4" s="7" t="inlineStr">
        <is>
          <t>Large cohort of Heating Degree Day swaps (30 positions), Gas Transportation (1), and other products (4) were absent from the pre-run snapshot but present in post, with pre_* values consistently 0 and post_* values ranging from 0 to 13M (gross value). This pattern is consistent with a late data load, settlement instruction add/modify batch processed between pre and post snapshots, or a shift in which books/portfolios are included in the reconciliation scope. The SWAP positions systematically pair debit and credit legs (e.g., pos 4676738: debit 1.85M / credit 1.99M), suggesting legitimate hedging/derivative bookings rather than data corruption. Row counts of 1–2 per new position align with expected settlement detail row structures.</t>
        </is>
      </c>
      <c r="F4" s="7" t="inlineStr">
        <is>
          <t>- All 35 new positions have pre_quantitysum = 0, pre_debitsum = 0, pre_creditsum = 0, pre_grossvaluesum = 0
- Post values are non-zero and substantial: mean debit 2.66M, mean credit 2.55M, mean gross value 5.21M
- 30 of 35 (86%) are Heating Degree Day SWAP products; remainder are Gas Transportation and other commodities
- SWAP positions consistently exhibit mirror debit/credit legs (e.g., pos 4773053: debit 4.36M / credit 3.64M = gross value 7.997M)
- Row counts (1–2) are consistent with single-leg or paired-leg settlement structures
- No data quality anomalies in these rows (no negative values, no fractional shares); values are economically reasonable</t>
        </is>
      </c>
      <c r="G4" s="7" t="inlineStr">
        <is>
          <t>35 positions across Heating Degree Day (n=30, 6 airports), Gas Transportation (n=1), and other products (n=4)</t>
        </is>
      </c>
      <c r="H4" s="7" t="inlineStr">
        <is>
          <t>high</t>
        </is>
      </c>
    </row>
    <row r="5" ht="90" customHeight="1">
      <c r="A5" s="7" t="inlineStr">
        <is>
          <t>3 positions with genuine value/debit mismatches on existing positions (mismatch type: debit/qty/value/rowcount)</t>
        </is>
      </c>
      <c r="B5" s="7" t="inlineStr"/>
      <c r="C5" s="7" t="inlineStr"/>
      <c r="D5" s="7" t="inlineStr"/>
      <c r="E5" s="7" t="inlineStr">
        <is>
          <t>Three positions with matching pre/post quantities (786, 1897, 0 units respectively) show significant debit and gross-value reductions (−15K, −16K, +2K). The corresponding pre_rowcountsum vs post_rowcountsum reveal row consolidation (TET M2: 8→6, −2 rows; PGE CG: 14→3, −11 rows) or splitting (ULSD: 1→2, +1 row). Root cause is most likely underlying detail-row-level changes: e.g., on Gas Transportation positions, some settlement instruction rows were consolidated or deleted between runs (possibly duplicate elimination, batch settlement, or adjustment reversal), causing the rolled-up (summed) debit amount to decrease even though the position quantity remained constant. The ULSD position shows the opposite: pre_rowcountsum=1 but post shows 2 rows, suggesting a split or reversal entry added post-settlement.</t>
        </is>
      </c>
      <c r="F5" s="7" t="inlineStr">
        <is>
          <t>- Position 4893021 (TET M2): pre/post qty both 786, pre debit 32,827.50 → post 17,685 (−46.1%), pre/post rowcount 8→6
- Position 4760336 (PGE CG): pre/post qty both 1,897, pre debit 28,037.72 → post 11,651.51 (−58.5%), pre/post rowcount 14→3 (−11 rows, largest consolidation)
- Position 4902289 (ULSD): pre/post qty both 0, pre debit 0 → post 2,370.13, pre/post rowcount 1→2 (new detail row added)
- No qty_mismatch flag on these 3 rows; breaks are isolated to debit, credit, value, and rowcount, suggesting detail-level changes rather than position-level errors
- Quantity unchanged but value/debit reduced proportionally to row reduction (TET M2 and PGE CG) or increased with row addition (ULSD)</t>
        </is>
      </c>
      <c r="G5" s="7" t="inlineStr">
        <is>
          <t>3 Gas Transportation/ULSD positions: TET M2 (pos 4893021), PGE CG (pos 4760336), Hopewell Plant ULSD (pos 4902289)</t>
        </is>
      </c>
      <c r="H5" s="7" t="inlineStr">
        <is>
          <t>high</t>
        </is>
      </c>
    </row>
    <row r="6" ht="90" customHeight="1">
      <c r="A6" s="7" t="inlineStr">
        <is>
          <t>3 positions with minor quantity rounding (mismatch type: qty/pricequantity, existing positions only)</t>
        </is>
      </c>
      <c r="B6" s="7" t="inlineStr"/>
      <c r="C6" s="7" t="inlineStr"/>
      <c r="D6" s="7" t="inlineStr"/>
      <c r="E6" s="7" t="inlineStr">
        <is>
          <t>Three established positions (Gas Storage at Chicago City Gates and Worsham Storage, REC Texas at REC V2026) show sub-unit quantity rounding, with differences of ±0.16 to ±0.46 units. These are typical floating-point or decimal-place rounding artifacts when quantities are recalculated or re-aggregated across settlement rows. The rounding does not propagate to debit, credit, or gross value (all remain equal across pre/post), indicating that the underlying settlement amount calculations use the full-precision quantity but reporting or display layers round the quantity for presentation. This is not a data quality issue but rather a display/precision artifact.</t>
        </is>
      </c>
      <c r="F6" s="7" t="inlineStr">
        <is>
          <t>- Position 1248020 (Gas Storage, Chicago City Gates): pre 5833.3333 → post 5833, difference −0.3333 units, pre/post debit/credit both 6.74 (no value impact)
- Position 2706967 (Gas Storage, Worsham Storage): pre 2180.5393 → post 2181, difference +0.4607 units, pre/post debit/credit both 0 (no value impact)
- Position 3718624 (REC Texas, REC V2026): pre 24910.16 → post 24910, difference −0.16 units, pre/post debit/credit both 0 (no value impact)
- Only qty_mismatch and pricequantitysum_mismatch flags present; debit, credit, and grossvalue flags all false (no downstream impact)</t>
        </is>
      </c>
      <c r="G6" s="7" t="inlineStr">
        <is>
          <t>3 commodity positions: Chicago City Gates, Worsham Storage, REC V2026</t>
        </is>
      </c>
      <c r="H6" s="7" t="inlineStr">
        <is>
          <t>high</t>
        </is>
      </c>
    </row>
    <row r="7" ht="90" customHeight="1">
      <c r="A7" s="7" t="inlineStr">
        <is>
          <t>1 position missing from post-reconciliation (missing_position_post: qty, debit, credit, value, pricequantity, rowcount all flagged)</t>
        </is>
      </c>
      <c r="B7" s="7" t="inlineStr"/>
      <c r="C7" s="7" t="inlineStr"/>
      <c r="D7" s="7" t="inlineStr"/>
      <c r="E7" s="7" t="inlineStr">
        <is>
          <t>Position 3247645 (Houston Ship Channel, Natural Gas, BUY, trade 1787963) was present in the pre-run snapshot with pre_rowcountsum=1 but completely absent in post (post_rowcountsum=0), and all post_* values are 0. Both pre and post quantity/value are 0, so this is not a value-loss issue but rather a position-level deletion or expiry. The position may have been a placeholder, an expired settlement instruction, or a position that aged out of the reporting window. The zero quantity/value in both snapshots suggests it was either a control/allocation record or a settled/closed position that was purged from the post-run book.</t>
        </is>
      </c>
      <c r="F7" s="7" t="inlineStr">
        <is>
          <t>- Position 3247645: pre_rowcountsum=1 (at least one detail row present pre-run), post_rowcountsum=0 (no rows post-run)
- All pre/post quantity and value fields are 0 (no economic loss, only structural deletion)
- Pre/post debit/credit both 0, ruling out a settlement amount issue
- Single position with missing_position_post mismatchtype; all other missing positions are flagged as new_post or reconcile clean</t>
        </is>
      </c>
      <c r="G7" s="7" t="inlineStr">
        <is>
          <t>1 Natural Gas position: Houston Ship Channel (pos 3247645, trade 1787963)</t>
        </is>
      </c>
      <c r="H7" s="7" t="inlineStr">
        <is>
          <t>high</t>
        </is>
      </c>
    </row>
    <row r="9">
      <c r="A9" s="5" t="inlineStr">
        <is>
          <t>Recommendations</t>
        </is>
      </c>
    </row>
    <row r="10">
      <c r="A10" s="6" t="inlineStr">
        <is>
          <t>- Pull the detailed settlement records (findetail rows) for the 35 new positions from the source system to confirm they were legitimately booked/processed between the pre and post snapshots. Verify with the trade booking system or middle office that these 30 Heating Degree Day swaps and 4 other new positions are intentional market activity and not duplicate or erroneous uploads.</t>
        </is>
      </c>
    </row>
    <row r="11">
      <c r="A11" s="6" t="inlineStr">
        <is>
          <t>- For the 3 positions with row-count and debit mismatches (TET M2, PGE CG, ULSD), retrieve the pre and post findetail tables (detail rows) and reconcile row-by-row to identify which rows were consolidated, deleted, or added. Cross-check with settlement batches or adjustment logs to confirm whether these changes were deliberate (e.g., duplicate elimination, batch netting, or correction entries).</t>
        </is>
      </c>
    </row>
    <row r="12">
      <c r="A12" s="6" t="inlineStr">
        <is>
          <t>- Verify the 3 quantity-rounding positions (Gas Storage, REC Texas) with the source data provider or position database to confirm whether the fractional quantities are true data or display artifacts. If true, confirm that rounding is applied consistently across all settlement calculations.</t>
        </is>
      </c>
    </row>
    <row r="13">
      <c r="A13" s="6" t="inlineStr">
        <is>
          <t>- Investigate position 3247645 (Houston Ship Channel, Natural Gas) to determine whether it is an expired settlement instruction, a manual deletion, or a purged placeholder. Confirm with the front office that this position should not appear in post and was not inadvertently deleted.</t>
        </is>
      </c>
    </row>
    <row r="14">
      <c r="A14" s="6" t="inlineStr">
        <is>
          <t>- Review the reconciliation process configuration to understand whether the 'pre' snapshot intentionally excludes recently booked positions or whether new bookings should be flagged as a reconciliation break. If new positions are expected, update the control framework to treat them as 'unreconciled new activity' rather than 'breaks'.</t>
        </is>
      </c>
    </row>
    <row r="15">
      <c r="A15" s="6" t="inlineStr">
        <is>
          <t>- For all 35 new SWAP positions, verify the debit/credit leg pairing and confirm that the gross value (sum of absolute debit and credit, or sum of leg values) is correct. Spot-check 3–5 of the largest positions (&gt;5M) against the trade master and settlement instruction logs.</t>
        </is>
      </c>
    </row>
  </sheetData>
  <mergeCells count="6">
    <mergeCell ref="A12:H12"/>
    <mergeCell ref="A15:H15"/>
    <mergeCell ref="A10:H10"/>
    <mergeCell ref="A13:H13"/>
    <mergeCell ref="A11:H11"/>
    <mergeCell ref="A14:H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49"/>
  <sheetViews>
    <sheetView showGridLines="0" workbookViewId="0">
      <pane ySplit="3" topLeftCell="A4" activePane="bottomLeft" state="frozen"/>
      <selection pane="bottomLeft"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6" customWidth="1" min="14" max="14"/>
    <col width="16" customWidth="1" min="15" max="15"/>
    <col width="16" customWidth="1" min="16" max="16"/>
    <col width="10" customWidth="1" min="17" max="17"/>
  </cols>
  <sheetData>
    <row r="1">
      <c r="A1" s="1" t="inlineStr">
        <is>
          <t>Triage: credit_mismatch</t>
        </is>
      </c>
    </row>
    <row r="2">
      <c r="A2" s="2" t="inlineStr">
        <is>
          <t>Rows grouped by mismatch type (each is a distinct issue), then FALSE (no issue).</t>
        </is>
      </c>
    </row>
    <row r="4">
      <c r="A4" s="3" t="inlineStr">
        <is>
          <t>source_file</t>
        </is>
      </c>
      <c r="B4" s="3" t="inlineStr">
        <is>
          <t>sheet_name</t>
        </is>
      </c>
      <c r="C4" s="3" t="inlineStr">
        <is>
          <t>process_type</t>
        </is>
      </c>
      <c r="D4" s="3" t="inlineStr">
        <is>
          <t>mismatchtype</t>
        </is>
      </c>
      <c r="E4" s="3" t="inlineStr">
        <is>
          <t>position</t>
        </is>
      </c>
      <c r="F4" s="3" t="inlineStr">
        <is>
          <t>trade</t>
        </is>
      </c>
      <c r="G4" s="3" t="inlineStr">
        <is>
          <t>positionmode</t>
        </is>
      </c>
      <c r="H4" s="3" t="inlineStr">
        <is>
          <t>positiontype</t>
        </is>
      </c>
      <c r="I4" s="3" t="inlineStr">
        <is>
          <t>product</t>
        </is>
      </c>
      <c r="J4" s="3" t="inlineStr">
        <is>
          <t>marketarea</t>
        </is>
      </c>
      <c r="K4" s="3" t="inlineStr">
        <is>
          <t>var_category</t>
        </is>
      </c>
      <c r="L4" s="3" t="inlineStr">
        <is>
          <t>var_id</t>
        </is>
      </c>
      <c r="M4" s="3" t="inlineStr">
        <is>
          <t>comments</t>
        </is>
      </c>
      <c r="N4" s="3" t="inlineStr">
        <is>
          <t>pre_creditsum</t>
        </is>
      </c>
      <c r="O4" s="3" t="inlineStr">
        <is>
          <t>post_creditsum</t>
        </is>
      </c>
      <c r="P4" s="3" t="inlineStr">
        <is>
          <t>difference (post - pre)</t>
        </is>
      </c>
      <c r="Q4" s="3" t="inlineStr">
        <is>
          <t>credit_mismatch</t>
        </is>
      </c>
    </row>
    <row r="5">
      <c r="A5" s="8" t="inlineStr">
        <is>
          <t>ISSUE - New position (post only)  (35 rows)</t>
        </is>
      </c>
    </row>
    <row r="6">
      <c r="A6" s="9" t="inlineStr">
        <is>
          <t>unexplained_result_findetail_position.xlsx</t>
        </is>
      </c>
      <c r="B6" s="9" t="inlineStr">
        <is>
          <t>Drilldown</t>
        </is>
      </c>
      <c r="C6" s="9" t="inlineStr">
        <is>
          <t>Settlement</t>
        </is>
      </c>
      <c r="D6" s="9" t="inlineStr">
        <is>
          <t>new_post</t>
        </is>
      </c>
      <c r="E6" s="9" t="n">
        <v>4347266</v>
      </c>
      <c r="F6" s="9" t="n">
        <v/>
      </c>
      <c r="G6" s="9" t="inlineStr">
        <is>
          <t>PHYSICAL</t>
        </is>
      </c>
      <c r="H6" s="9" t="inlineStr">
        <is>
          <t>BUY</t>
        </is>
      </c>
      <c r="I6" s="9" t="inlineStr">
        <is>
          <t>Gas Transportation</t>
        </is>
      </c>
      <c r="J6" s="9" t="inlineStr">
        <is>
          <t>Tennessee Z4-200 Leg</t>
        </is>
      </c>
      <c r="K6" s="9" t="n">
        <v/>
      </c>
      <c r="L6" s="9" t="n">
        <v/>
      </c>
      <c r="M6" s="9" t="n">
        <v/>
      </c>
      <c r="N6" s="9" t="n">
        <v>0</v>
      </c>
      <c r="O6" s="9" t="n">
        <v>0</v>
      </c>
      <c r="P6" s="10">
        <f>O6-N6</f>
        <v/>
      </c>
      <c r="Q6" s="9" t="inlineStr">
        <is>
          <t>true</t>
        </is>
      </c>
    </row>
    <row r="7">
      <c r="A7" s="9" t="inlineStr">
        <is>
          <t>unexplained_result_findetail_position.xlsx</t>
        </is>
      </c>
      <c r="B7" s="9" t="inlineStr">
        <is>
          <t>Drilldown</t>
        </is>
      </c>
      <c r="C7" s="9" t="inlineStr">
        <is>
          <t>Settlement</t>
        </is>
      </c>
      <c r="D7" s="9" t="inlineStr">
        <is>
          <t>new_post</t>
        </is>
      </c>
      <c r="E7" s="9" t="n">
        <v>4676738</v>
      </c>
      <c r="F7" s="9" t="inlineStr">
        <is>
          <t>2258482</t>
        </is>
      </c>
      <c r="G7" s="9" t="inlineStr">
        <is>
          <t>FINANCIAL</t>
        </is>
      </c>
      <c r="H7" s="9" t="inlineStr">
        <is>
          <t>SWAP</t>
        </is>
      </c>
      <c r="I7" s="9" t="inlineStr">
        <is>
          <t>Heating Degree Day</t>
        </is>
      </c>
      <c r="J7" s="9" t="inlineStr">
        <is>
          <t>Chicago OHare Airport</t>
        </is>
      </c>
      <c r="K7" s="9" t="n">
        <v/>
      </c>
      <c r="L7" s="9" t="n">
        <v/>
      </c>
      <c r="M7" s="9" t="n">
        <v/>
      </c>
      <c r="N7" s="9" t="n">
        <v>0</v>
      </c>
      <c r="O7" s="9" t="n">
        <v>1989517.25</v>
      </c>
      <c r="P7" s="10">
        <f>O7-N7</f>
        <v/>
      </c>
      <c r="Q7" s="9" t="inlineStr">
        <is>
          <t>true</t>
        </is>
      </c>
    </row>
    <row r="8">
      <c r="A8" s="9" t="inlineStr">
        <is>
          <t>unexplained_result_findetail_position.xlsx</t>
        </is>
      </c>
      <c r="B8" s="9" t="inlineStr">
        <is>
          <t>Drilldown</t>
        </is>
      </c>
      <c r="C8" s="9" t="inlineStr">
        <is>
          <t>Settlement</t>
        </is>
      </c>
      <c r="D8" s="9" t="inlineStr">
        <is>
          <t>new_post</t>
        </is>
      </c>
      <c r="E8" s="9" t="n">
        <v>4677600</v>
      </c>
      <c r="F8" s="9" t="inlineStr">
        <is>
          <t>2258847</t>
        </is>
      </c>
      <c r="G8" s="9" t="inlineStr">
        <is>
          <t>FINANCIAL</t>
        </is>
      </c>
      <c r="H8" s="9" t="inlineStr">
        <is>
          <t>SWAP</t>
        </is>
      </c>
      <c r="I8" s="9" t="inlineStr">
        <is>
          <t>Heating Degree Day</t>
        </is>
      </c>
      <c r="J8" s="9" t="inlineStr">
        <is>
          <t>Chicago OHare Airport</t>
        </is>
      </c>
      <c r="K8" s="9" t="n">
        <v/>
      </c>
      <c r="L8" s="9" t="n">
        <v/>
      </c>
      <c r="M8" s="9" t="n">
        <v/>
      </c>
      <c r="N8" s="9" t="n">
        <v>0</v>
      </c>
      <c r="O8" s="9" t="n">
        <v>1853822.99</v>
      </c>
      <c r="P8" s="10">
        <f>O8-N8</f>
        <v/>
      </c>
      <c r="Q8" s="9" t="inlineStr">
        <is>
          <t>true</t>
        </is>
      </c>
    </row>
    <row r="9">
      <c r="A9" s="9" t="inlineStr">
        <is>
          <t>unexplained_result_findetail_position.xlsx</t>
        </is>
      </c>
      <c r="B9" s="9" t="inlineStr">
        <is>
          <t>Drilldown</t>
        </is>
      </c>
      <c r="C9" s="9" t="inlineStr">
        <is>
          <t>Settlement</t>
        </is>
      </c>
      <c r="D9" s="9" t="inlineStr">
        <is>
          <t>new_post</t>
        </is>
      </c>
      <c r="E9" s="9" t="n">
        <v>4677607</v>
      </c>
      <c r="F9" s="9" t="inlineStr">
        <is>
          <t>2258851</t>
        </is>
      </c>
      <c r="G9" s="9" t="inlineStr">
        <is>
          <t>FINANCIAL</t>
        </is>
      </c>
      <c r="H9" s="9" t="inlineStr">
        <is>
          <t>SWAP</t>
        </is>
      </c>
      <c r="I9" s="9" t="inlineStr">
        <is>
          <t>Heating Degree Day</t>
        </is>
      </c>
      <c r="J9" s="9" t="inlineStr">
        <is>
          <t>Chicago OHare Airport</t>
        </is>
      </c>
      <c r="K9" s="9" t="n">
        <v/>
      </c>
      <c r="L9" s="9" t="n">
        <v/>
      </c>
      <c r="M9" s="9" t="n">
        <v/>
      </c>
      <c r="N9" s="9" t="n">
        <v>0</v>
      </c>
      <c r="O9" s="9" t="n">
        <v>1989517.25</v>
      </c>
      <c r="P9" s="10">
        <f>O9-N9</f>
        <v/>
      </c>
      <c r="Q9" s="9" t="inlineStr">
        <is>
          <t>true</t>
        </is>
      </c>
    </row>
    <row r="10">
      <c r="A10" s="9" t="inlineStr">
        <is>
          <t>unexplained_result_findetail_position.xlsx</t>
        </is>
      </c>
      <c r="B10" s="9" t="inlineStr">
        <is>
          <t>Drilldown</t>
        </is>
      </c>
      <c r="C10" s="9" t="inlineStr">
        <is>
          <t>Settlement</t>
        </is>
      </c>
      <c r="D10" s="9" t="inlineStr">
        <is>
          <t>new_post</t>
        </is>
      </c>
      <c r="E10" s="9" t="n">
        <v>4758127</v>
      </c>
      <c r="F10" s="9" t="inlineStr">
        <is>
          <t>2285953</t>
        </is>
      </c>
      <c r="G10" s="9" t="inlineStr">
        <is>
          <t>FINANCIAL</t>
        </is>
      </c>
      <c r="H10" s="9" t="inlineStr">
        <is>
          <t>BUY</t>
        </is>
      </c>
      <c r="I10" s="9" t="inlineStr">
        <is>
          <t>Heating Degree Day</t>
        </is>
      </c>
      <c r="J10" s="9" t="inlineStr">
        <is>
          <t>DFW Airport</t>
        </is>
      </c>
      <c r="K10" s="9" t="n">
        <v/>
      </c>
      <c r="L10" s="9" t="n">
        <v/>
      </c>
      <c r="M10" s="9" t="n">
        <v/>
      </c>
      <c r="N10" s="9" t="n">
        <v>0</v>
      </c>
      <c r="O10" s="9" t="n">
        <v>0</v>
      </c>
      <c r="P10" s="10">
        <f>O10-N10</f>
        <v/>
      </c>
      <c r="Q10" s="9" t="inlineStr">
        <is>
          <t>true</t>
        </is>
      </c>
    </row>
    <row r="11">
      <c r="A11" s="9" t="inlineStr">
        <is>
          <t>unexplained_result_findetail_position.xlsx</t>
        </is>
      </c>
      <c r="B11" s="9" t="inlineStr">
        <is>
          <t>Drilldown</t>
        </is>
      </c>
      <c r="C11" s="9" t="inlineStr">
        <is>
          <t>Settlement</t>
        </is>
      </c>
      <c r="D11" s="9" t="inlineStr">
        <is>
          <t>new_post</t>
        </is>
      </c>
      <c r="E11" s="9" t="inlineStr">
        <is>
          <t>4758128</t>
        </is>
      </c>
      <c r="F11" s="9" t="inlineStr">
        <is>
          <t>2285953</t>
        </is>
      </c>
      <c r="G11" s="9" t="inlineStr">
        <is>
          <t>FINANCIAL</t>
        </is>
      </c>
      <c r="H11" s="9" t="inlineStr">
        <is>
          <t>BUY</t>
        </is>
      </c>
      <c r="I11" s="9" t="inlineStr">
        <is>
          <t>Heating Degree Day</t>
        </is>
      </c>
      <c r="J11" s="9" t="inlineStr">
        <is>
          <t xml:space="preserve">Houston - Bush Intercontinental </t>
        </is>
      </c>
      <c r="K11" s="9" t="n">
        <v/>
      </c>
      <c r="L11" s="9" t="n">
        <v/>
      </c>
      <c r="M11" s="9" t="n">
        <v/>
      </c>
      <c r="N11" s="9" t="n">
        <v>0</v>
      </c>
      <c r="O11" s="9" t="n">
        <v>0</v>
      </c>
      <c r="P11" s="10">
        <f>O11-N11</f>
        <v/>
      </c>
      <c r="Q11" s="9" t="inlineStr">
        <is>
          <t>true</t>
        </is>
      </c>
    </row>
    <row r="12">
      <c r="A12" s="9" t="inlineStr">
        <is>
          <t>unexplained_result_findetail_position.xlsx</t>
        </is>
      </c>
      <c r="B12" s="9" t="inlineStr">
        <is>
          <t>Drilldown</t>
        </is>
      </c>
      <c r="C12" s="9" t="inlineStr">
        <is>
          <t>Settlement</t>
        </is>
      </c>
      <c r="D12" s="9" t="inlineStr">
        <is>
          <t>new_post</t>
        </is>
      </c>
      <c r="E12" s="9" t="inlineStr">
        <is>
          <t>4760073</t>
        </is>
      </c>
      <c r="F12" s="9" t="inlineStr">
        <is>
          <t>2286035</t>
        </is>
      </c>
      <c r="G12" s="9" t="inlineStr">
        <is>
          <t>FINANCIAL</t>
        </is>
      </c>
      <c r="H12" s="9" t="inlineStr">
        <is>
          <t>SELL</t>
        </is>
      </c>
      <c r="I12" s="9" t="inlineStr">
        <is>
          <t>Heating Degree Day</t>
        </is>
      </c>
      <c r="J12" s="9" t="inlineStr">
        <is>
          <t>DFW Airport</t>
        </is>
      </c>
      <c r="K12" s="9" t="n">
        <v/>
      </c>
      <c r="L12" s="9" t="n">
        <v/>
      </c>
      <c r="M12" s="9" t="n">
        <v/>
      </c>
      <c r="N12" s="9" t="n">
        <v>0</v>
      </c>
      <c r="O12" s="9" t="n">
        <v>0</v>
      </c>
      <c r="P12" s="10">
        <f>O12-N12</f>
        <v/>
      </c>
      <c r="Q12" s="9" t="inlineStr">
        <is>
          <t>true</t>
        </is>
      </c>
    </row>
    <row r="13">
      <c r="A13" s="9" t="inlineStr">
        <is>
          <t>unexplained_result_findetail_position.xlsx</t>
        </is>
      </c>
      <c r="B13" s="9" t="inlineStr">
        <is>
          <t>Drilldown</t>
        </is>
      </c>
      <c r="C13" s="9" t="inlineStr">
        <is>
          <t>Settlement</t>
        </is>
      </c>
      <c r="D13" s="9" t="inlineStr">
        <is>
          <t>new_post</t>
        </is>
      </c>
      <c r="E13" s="9" t="inlineStr">
        <is>
          <t>4760074</t>
        </is>
      </c>
      <c r="F13" s="9" t="inlineStr">
        <is>
          <t>2286035</t>
        </is>
      </c>
      <c r="G13" s="9" t="inlineStr">
        <is>
          <t>FINANCIAL</t>
        </is>
      </c>
      <c r="H13" s="9" t="inlineStr">
        <is>
          <t>SELL</t>
        </is>
      </c>
      <c r="I13" s="9" t="inlineStr">
        <is>
          <t>Heating Degree Day</t>
        </is>
      </c>
      <c r="J13" s="9" t="inlineStr">
        <is>
          <t xml:space="preserve">Houston - Bush Intercontinental </t>
        </is>
      </c>
      <c r="K13" s="9" t="n">
        <v/>
      </c>
      <c r="L13" s="9" t="n">
        <v/>
      </c>
      <c r="M13" s="9" t="n">
        <v/>
      </c>
      <c r="N13" s="9" t="n">
        <v>0</v>
      </c>
      <c r="O13" s="9" t="n">
        <v>0</v>
      </c>
      <c r="P13" s="10">
        <f>O13-N13</f>
        <v/>
      </c>
      <c r="Q13" s="9" t="inlineStr">
        <is>
          <t>true</t>
        </is>
      </c>
    </row>
    <row r="14">
      <c r="A14" s="9" t="inlineStr">
        <is>
          <t>unexplained_result_findetail_position.xlsx</t>
        </is>
      </c>
      <c r="B14" s="9" t="inlineStr">
        <is>
          <t>Drilldown</t>
        </is>
      </c>
      <c r="C14" s="9" t="inlineStr">
        <is>
          <t>Settlement</t>
        </is>
      </c>
      <c r="D14" s="9" t="inlineStr">
        <is>
          <t>new_post</t>
        </is>
      </c>
      <c r="E14" s="9" t="inlineStr">
        <is>
          <t>4760096</t>
        </is>
      </c>
      <c r="F14" s="9" t="inlineStr">
        <is>
          <t>2286057</t>
        </is>
      </c>
      <c r="G14" s="9" t="inlineStr">
        <is>
          <t>FINANCIAL</t>
        </is>
      </c>
      <c r="H14" s="9" t="inlineStr">
        <is>
          <t>BUY</t>
        </is>
      </c>
      <c r="I14" s="9" t="inlineStr">
        <is>
          <t>Heating Degree Day</t>
        </is>
      </c>
      <c r="J14" s="9" t="inlineStr">
        <is>
          <t xml:space="preserve">Houston - Bush Intercontinental </t>
        </is>
      </c>
      <c r="K14" s="9" t="n">
        <v/>
      </c>
      <c r="L14" s="9" t="n">
        <v/>
      </c>
      <c r="M14" s="9" t="n">
        <v/>
      </c>
      <c r="N14" s="9" t="n">
        <v>0</v>
      </c>
      <c r="O14" s="9" t="n">
        <v>0</v>
      </c>
      <c r="P14" s="10">
        <f>O14-N14</f>
        <v/>
      </c>
      <c r="Q14" s="9" t="inlineStr">
        <is>
          <t>true</t>
        </is>
      </c>
    </row>
    <row r="15">
      <c r="A15" s="9" t="inlineStr">
        <is>
          <t>unexplained_result_findetail_position.xlsx</t>
        </is>
      </c>
      <c r="B15" s="9" t="inlineStr">
        <is>
          <t>Drilldown</t>
        </is>
      </c>
      <c r="C15" s="9" t="inlineStr">
        <is>
          <t>Settlement</t>
        </is>
      </c>
      <c r="D15" s="9" t="inlineStr">
        <is>
          <t>new_post</t>
        </is>
      </c>
      <c r="E15" s="9" t="inlineStr">
        <is>
          <t>4760101</t>
        </is>
      </c>
      <c r="F15" s="9" t="inlineStr">
        <is>
          <t>2286057</t>
        </is>
      </c>
      <c r="G15" s="9" t="inlineStr">
        <is>
          <t>FINANCIAL</t>
        </is>
      </c>
      <c r="H15" s="9" t="inlineStr">
        <is>
          <t>BUY</t>
        </is>
      </c>
      <c r="I15" s="9" t="inlineStr">
        <is>
          <t>Heating Degree Day</t>
        </is>
      </c>
      <c r="J15" s="9" t="inlineStr">
        <is>
          <t>DFW Airport</t>
        </is>
      </c>
      <c r="K15" s="9" t="n">
        <v/>
      </c>
      <c r="L15" s="9" t="n">
        <v/>
      </c>
      <c r="M15" s="9" t="n">
        <v/>
      </c>
      <c r="N15" s="9" t="n">
        <v>0</v>
      </c>
      <c r="O15" s="9" t="n">
        <v>0</v>
      </c>
      <c r="P15" s="10">
        <f>O15-N15</f>
        <v/>
      </c>
      <c r="Q15" s="9" t="inlineStr">
        <is>
          <t>true</t>
        </is>
      </c>
    </row>
    <row r="16">
      <c r="A16" s="9" t="inlineStr">
        <is>
          <t>unexplained_result_findetail_position.xlsx</t>
        </is>
      </c>
      <c r="B16" s="9" t="inlineStr">
        <is>
          <t>Drilldown</t>
        </is>
      </c>
      <c r="C16" s="9" t="inlineStr">
        <is>
          <t>Settlement</t>
        </is>
      </c>
      <c r="D16" s="9" t="inlineStr">
        <is>
          <t>new_post</t>
        </is>
      </c>
      <c r="E16" s="9" t="inlineStr">
        <is>
          <t>4773053</t>
        </is>
      </c>
      <c r="F16" s="9" t="inlineStr">
        <is>
          <t>2290356</t>
        </is>
      </c>
      <c r="G16" s="9" t="inlineStr">
        <is>
          <t>FINANCIAL</t>
        </is>
      </c>
      <c r="H16" s="9" t="inlineStr">
        <is>
          <t>SWAP</t>
        </is>
      </c>
      <c r="I16" s="9" t="inlineStr">
        <is>
          <t>Heating Degree Day</t>
        </is>
      </c>
      <c r="J16" s="9" t="inlineStr">
        <is>
          <t>PHL Airport</t>
        </is>
      </c>
      <c r="K16" s="9" t="n">
        <v/>
      </c>
      <c r="L16" s="9" t="n">
        <v/>
      </c>
      <c r="M16" s="9" t="n">
        <v/>
      </c>
      <c r="N16" s="9" t="n">
        <v>0</v>
      </c>
      <c r="O16" s="9" t="n">
        <v>3641794.36</v>
      </c>
      <c r="P16" s="10">
        <f>O16-N16</f>
        <v/>
      </c>
      <c r="Q16" s="9" t="inlineStr">
        <is>
          <t>true</t>
        </is>
      </c>
    </row>
    <row r="17">
      <c r="A17" s="9" t="inlineStr">
        <is>
          <t>unexplained_result_findetail_position.xlsx</t>
        </is>
      </c>
      <c r="B17" s="9" t="inlineStr">
        <is>
          <t>Drilldown</t>
        </is>
      </c>
      <c r="C17" s="9" t="inlineStr">
        <is>
          <t>Settlement</t>
        </is>
      </c>
      <c r="D17" s="9" t="inlineStr">
        <is>
          <t>new_post</t>
        </is>
      </c>
      <c r="E17" s="9" t="inlineStr">
        <is>
          <t>4773058</t>
        </is>
      </c>
      <c r="F17" s="9" t="inlineStr">
        <is>
          <t>2290358</t>
        </is>
      </c>
      <c r="G17" s="9" t="inlineStr">
        <is>
          <t>FINANCIAL</t>
        </is>
      </c>
      <c r="H17" s="9" t="inlineStr">
        <is>
          <t>SWAP</t>
        </is>
      </c>
      <c r="I17" s="9" t="inlineStr">
        <is>
          <t>Heating Degree Day</t>
        </is>
      </c>
      <c r="J17" s="9" t="inlineStr">
        <is>
          <t>PHL Airport</t>
        </is>
      </c>
      <c r="K17" s="9" t="n">
        <v/>
      </c>
      <c r="L17" s="9" t="n">
        <v/>
      </c>
      <c r="M17" s="9" t="n">
        <v/>
      </c>
      <c r="N17" s="9" t="n">
        <v>0</v>
      </c>
      <c r="O17" s="9" t="n">
        <v>3641794.36</v>
      </c>
      <c r="P17" s="10">
        <f>O17-N17</f>
        <v/>
      </c>
      <c r="Q17" s="9" t="inlineStr">
        <is>
          <t>true</t>
        </is>
      </c>
    </row>
    <row r="18">
      <c r="A18" s="9" t="inlineStr">
        <is>
          <t>unexplained_result_findetail_position.xlsx</t>
        </is>
      </c>
      <c r="B18" s="9" t="inlineStr">
        <is>
          <t>Drilldown</t>
        </is>
      </c>
      <c r="C18" s="9" t="inlineStr">
        <is>
          <t>Settlement</t>
        </is>
      </c>
      <c r="D18" s="9" t="inlineStr">
        <is>
          <t>new_post</t>
        </is>
      </c>
      <c r="E18" s="9" t="inlineStr">
        <is>
          <t>4773171</t>
        </is>
      </c>
      <c r="F18" s="9" t="inlineStr">
        <is>
          <t>2290394</t>
        </is>
      </c>
      <c r="G18" s="9" t="inlineStr">
        <is>
          <t>FINANCIAL</t>
        </is>
      </c>
      <c r="H18" s="9" t="inlineStr">
        <is>
          <t>SWAP</t>
        </is>
      </c>
      <c r="I18" s="9" t="inlineStr">
        <is>
          <t>Heating Degree Day</t>
        </is>
      </c>
      <c r="J18" s="9" t="inlineStr">
        <is>
          <t>BOS Airport</t>
        </is>
      </c>
      <c r="K18" s="9" t="n">
        <v/>
      </c>
      <c r="L18" s="9" t="n">
        <v/>
      </c>
      <c r="M18" s="9" t="n">
        <v/>
      </c>
      <c r="N18" s="9" t="n">
        <v>0</v>
      </c>
      <c r="O18" s="9" t="n">
        <v>868044.14</v>
      </c>
      <c r="P18" s="10">
        <f>O18-N18</f>
        <v/>
      </c>
      <c r="Q18" s="9" t="inlineStr">
        <is>
          <t>true</t>
        </is>
      </c>
    </row>
    <row r="19">
      <c r="A19" s="9" t="inlineStr">
        <is>
          <t>unexplained_result_findetail_position.xlsx</t>
        </is>
      </c>
      <c r="B19" s="9" t="inlineStr">
        <is>
          <t>Drilldown</t>
        </is>
      </c>
      <c r="C19" s="9" t="inlineStr">
        <is>
          <t>Settlement</t>
        </is>
      </c>
      <c r="D19" s="9" t="inlineStr">
        <is>
          <t>new_post</t>
        </is>
      </c>
      <c r="E19" s="9" t="inlineStr">
        <is>
          <t>4773174</t>
        </is>
      </c>
      <c r="F19" s="9" t="inlineStr">
        <is>
          <t>2290395</t>
        </is>
      </c>
      <c r="G19" s="9" t="inlineStr">
        <is>
          <t>FINANCIAL</t>
        </is>
      </c>
      <c r="H19" s="9" t="inlineStr">
        <is>
          <t>SWAP</t>
        </is>
      </c>
      <c r="I19" s="9" t="inlineStr">
        <is>
          <t>Heating Degree Day</t>
        </is>
      </c>
      <c r="J19" s="9" t="inlineStr">
        <is>
          <t>BOS Airport</t>
        </is>
      </c>
      <c r="K19" s="9" t="n">
        <v/>
      </c>
      <c r="L19" s="9" t="n">
        <v/>
      </c>
      <c r="M19" s="9" t="n">
        <v/>
      </c>
      <c r="N19" s="9" t="n">
        <v>0</v>
      </c>
      <c r="O19" s="9" t="n">
        <v>3472176.54</v>
      </c>
      <c r="P19" s="10">
        <f>O19-N19</f>
        <v/>
      </c>
      <c r="Q19" s="9" t="inlineStr">
        <is>
          <t>true</t>
        </is>
      </c>
    </row>
    <row r="20">
      <c r="A20" s="9" t="inlineStr">
        <is>
          <t>unexplained_result_findetail_position.xlsx</t>
        </is>
      </c>
      <c r="B20" s="9" t="inlineStr">
        <is>
          <t>Drilldown</t>
        </is>
      </c>
      <c r="C20" s="9" t="inlineStr">
        <is>
          <t>Settlement</t>
        </is>
      </c>
      <c r="D20" s="9" t="inlineStr">
        <is>
          <t>new_post</t>
        </is>
      </c>
      <c r="E20" s="9" t="inlineStr">
        <is>
          <t>4773796</t>
        </is>
      </c>
      <c r="F20" s="9" t="inlineStr">
        <is>
          <t>2290712</t>
        </is>
      </c>
      <c r="G20" s="9" t="inlineStr">
        <is>
          <t>FINANCIAL</t>
        </is>
      </c>
      <c r="H20" s="9" t="inlineStr">
        <is>
          <t>SWAP</t>
        </is>
      </c>
      <c r="I20" s="9" t="inlineStr">
        <is>
          <t>Heating Degree Day</t>
        </is>
      </c>
      <c r="J20" s="9" t="inlineStr">
        <is>
          <t>PHL Airport</t>
        </is>
      </c>
      <c r="K20" s="9" t="n">
        <v/>
      </c>
      <c r="L20" s="9" t="n">
        <v/>
      </c>
      <c r="M20" s="9" t="n">
        <v/>
      </c>
      <c r="N20" s="9" t="n">
        <v>0</v>
      </c>
      <c r="O20" s="9" t="n">
        <v>4355186.96</v>
      </c>
      <c r="P20" s="10">
        <f>O20-N20</f>
        <v/>
      </c>
      <c r="Q20" s="9" t="inlineStr">
        <is>
          <t>true</t>
        </is>
      </c>
    </row>
    <row r="21">
      <c r="A21" s="9" t="inlineStr">
        <is>
          <t>unexplained_result_findetail_position.xlsx</t>
        </is>
      </c>
      <c r="B21" s="9" t="inlineStr">
        <is>
          <t>Drilldown</t>
        </is>
      </c>
      <c r="C21" s="9" t="inlineStr">
        <is>
          <t>Settlement</t>
        </is>
      </c>
      <c r="D21" s="9" t="inlineStr">
        <is>
          <t>new_post</t>
        </is>
      </c>
      <c r="E21" s="9" t="inlineStr">
        <is>
          <t>4773836</t>
        </is>
      </c>
      <c r="F21" s="9" t="inlineStr">
        <is>
          <t>2290755</t>
        </is>
      </c>
      <c r="G21" s="9" t="inlineStr">
        <is>
          <t>FINANCIAL</t>
        </is>
      </c>
      <c r="H21" s="9" t="inlineStr">
        <is>
          <t>SWAP</t>
        </is>
      </c>
      <c r="I21" s="9" t="inlineStr">
        <is>
          <t>Heating Degree Day</t>
        </is>
      </c>
      <c r="J21" s="9" t="inlineStr">
        <is>
          <t>PHL Airport</t>
        </is>
      </c>
      <c r="K21" s="9" t="n">
        <v/>
      </c>
      <c r="L21" s="9" t="n">
        <v/>
      </c>
      <c r="M21" s="9" t="n">
        <v/>
      </c>
      <c r="N21" s="9" t="n">
        <v>0</v>
      </c>
      <c r="O21" s="9" t="n">
        <v>3641794.36</v>
      </c>
      <c r="P21" s="10">
        <f>O21-N21</f>
        <v/>
      </c>
      <c r="Q21" s="9" t="inlineStr">
        <is>
          <t>true</t>
        </is>
      </c>
    </row>
    <row r="22">
      <c r="A22" s="9" t="inlineStr">
        <is>
          <t>unexplained_result_findetail_position.xlsx</t>
        </is>
      </c>
      <c r="B22" s="9" t="inlineStr">
        <is>
          <t>Drilldown</t>
        </is>
      </c>
      <c r="C22" s="9" t="inlineStr">
        <is>
          <t>Settlement</t>
        </is>
      </c>
      <c r="D22" s="9" t="inlineStr">
        <is>
          <t>new_post</t>
        </is>
      </c>
      <c r="E22" s="9" t="inlineStr">
        <is>
          <t>4773891</t>
        </is>
      </c>
      <c r="F22" s="9" t="inlineStr">
        <is>
          <t>2290805</t>
        </is>
      </c>
      <c r="G22" s="9" t="inlineStr">
        <is>
          <t>FINANCIAL</t>
        </is>
      </c>
      <c r="H22" s="9" t="inlineStr">
        <is>
          <t>SWAP</t>
        </is>
      </c>
      <c r="I22" s="9" t="inlineStr">
        <is>
          <t>Heating Degree Day</t>
        </is>
      </c>
      <c r="J22" s="9" t="inlineStr">
        <is>
          <t>BOS Airport</t>
        </is>
      </c>
      <c r="K22" s="9" t="n">
        <v/>
      </c>
      <c r="L22" s="9" t="n">
        <v/>
      </c>
      <c r="M22" s="9" t="n">
        <v/>
      </c>
      <c r="N22" s="9" t="n">
        <v>0</v>
      </c>
      <c r="O22" s="9" t="n">
        <v>3994998.53</v>
      </c>
      <c r="P22" s="10">
        <f>O22-N22</f>
        <v/>
      </c>
      <c r="Q22" s="9" t="inlineStr">
        <is>
          <t>true</t>
        </is>
      </c>
    </row>
    <row r="23">
      <c r="A23" s="9" t="inlineStr">
        <is>
          <t>unexplained_result_findetail_position.xlsx</t>
        </is>
      </c>
      <c r="B23" s="9" t="inlineStr">
        <is>
          <t>Drilldown</t>
        </is>
      </c>
      <c r="C23" s="9" t="inlineStr">
        <is>
          <t>Settlement</t>
        </is>
      </c>
      <c r="D23" s="9" t="inlineStr">
        <is>
          <t>new_post</t>
        </is>
      </c>
      <c r="E23" s="9" t="inlineStr">
        <is>
          <t>4773927</t>
        </is>
      </c>
      <c r="F23" s="9" t="inlineStr">
        <is>
          <t>2290843</t>
        </is>
      </c>
      <c r="G23" s="9" t="inlineStr">
        <is>
          <t>FINANCIAL</t>
        </is>
      </c>
      <c r="H23" s="9" t="inlineStr">
        <is>
          <t>SWAP</t>
        </is>
      </c>
      <c r="I23" s="9" t="inlineStr">
        <is>
          <t>Heating Degree Day</t>
        </is>
      </c>
      <c r="J23" s="9" t="inlineStr">
        <is>
          <t>BOS Airport</t>
        </is>
      </c>
      <c r="K23" s="9" t="n">
        <v/>
      </c>
      <c r="L23" s="9" t="n">
        <v/>
      </c>
      <c r="M23" s="9" t="n">
        <v/>
      </c>
      <c r="N23" s="9" t="n">
        <v>0</v>
      </c>
      <c r="O23" s="9" t="n">
        <v>3472176.54</v>
      </c>
      <c r="P23" s="10">
        <f>O23-N23</f>
        <v/>
      </c>
      <c r="Q23" s="9" t="inlineStr">
        <is>
          <t>true</t>
        </is>
      </c>
    </row>
    <row r="24">
      <c r="A24" s="9" t="inlineStr">
        <is>
          <t>unexplained_result_findetail_position.xlsx</t>
        </is>
      </c>
      <c r="B24" s="9" t="inlineStr">
        <is>
          <t>Drilldown</t>
        </is>
      </c>
      <c r="C24" s="9" t="inlineStr">
        <is>
          <t>Settlement</t>
        </is>
      </c>
      <c r="D24" s="9" t="inlineStr">
        <is>
          <t>new_post</t>
        </is>
      </c>
      <c r="E24" s="9" t="inlineStr">
        <is>
          <t>4773983</t>
        </is>
      </c>
      <c r="F24" s="9" t="inlineStr">
        <is>
          <t>2290895</t>
        </is>
      </c>
      <c r="G24" s="9" t="inlineStr">
        <is>
          <t>FINANCIAL</t>
        </is>
      </c>
      <c r="H24" s="9" t="inlineStr">
        <is>
          <t>SWAP</t>
        </is>
      </c>
      <c r="I24" s="9" t="inlineStr">
        <is>
          <t>Heating Degree Day</t>
        </is>
      </c>
      <c r="J24" s="9" t="inlineStr">
        <is>
          <t>PHL Airport</t>
        </is>
      </c>
      <c r="K24" s="9" t="n">
        <v/>
      </c>
      <c r="L24" s="9" t="n">
        <v/>
      </c>
      <c r="M24" s="9" t="n">
        <v/>
      </c>
      <c r="N24" s="9" t="n">
        <v>0</v>
      </c>
      <c r="O24" s="9" t="n">
        <v>4355186.96</v>
      </c>
      <c r="P24" s="10">
        <f>O24-N24</f>
        <v/>
      </c>
      <c r="Q24" s="9" t="inlineStr">
        <is>
          <t>true</t>
        </is>
      </c>
    </row>
    <row r="25">
      <c r="A25" s="9" t="inlineStr">
        <is>
          <t>unexplained_result_findetail_position.xlsx</t>
        </is>
      </c>
      <c r="B25" s="9" t="inlineStr">
        <is>
          <t>Drilldown</t>
        </is>
      </c>
      <c r="C25" s="9" t="inlineStr">
        <is>
          <t>Settlement</t>
        </is>
      </c>
      <c r="D25" s="9" t="inlineStr">
        <is>
          <t>new_post</t>
        </is>
      </c>
      <c r="E25" s="9" t="inlineStr">
        <is>
          <t>4774021</t>
        </is>
      </c>
      <c r="F25" s="9" t="inlineStr">
        <is>
          <t>2290934</t>
        </is>
      </c>
      <c r="G25" s="9" t="inlineStr">
        <is>
          <t>FINANCIAL</t>
        </is>
      </c>
      <c r="H25" s="9" t="inlineStr">
        <is>
          <t>SWAP</t>
        </is>
      </c>
      <c r="I25" s="9" t="inlineStr">
        <is>
          <t>Heating Degree Day</t>
        </is>
      </c>
      <c r="J25" s="9" t="inlineStr">
        <is>
          <t>PHL Airport</t>
        </is>
      </c>
      <c r="K25" s="9" t="n">
        <v/>
      </c>
      <c r="L25" s="9" t="n">
        <v/>
      </c>
      <c r="M25" s="9" t="n">
        <v/>
      </c>
      <c r="N25" s="9" t="n">
        <v>0</v>
      </c>
      <c r="O25" s="9" t="n">
        <v>3641794.36</v>
      </c>
      <c r="P25" s="10">
        <f>O25-N25</f>
        <v/>
      </c>
      <c r="Q25" s="9" t="inlineStr">
        <is>
          <t>true</t>
        </is>
      </c>
    </row>
    <row r="26">
      <c r="A26" s="9" t="inlineStr">
        <is>
          <t>unexplained_result_findetail_position.xlsx</t>
        </is>
      </c>
      <c r="B26" s="9" t="inlineStr">
        <is>
          <t>Drilldown</t>
        </is>
      </c>
      <c r="C26" s="9" t="inlineStr">
        <is>
          <t>Settlement</t>
        </is>
      </c>
      <c r="D26" s="9" t="inlineStr">
        <is>
          <t>new_post</t>
        </is>
      </c>
      <c r="E26" s="9" t="inlineStr">
        <is>
          <t>4776904</t>
        </is>
      </c>
      <c r="F26" s="9" t="inlineStr">
        <is>
          <t>2291827</t>
        </is>
      </c>
      <c r="G26" s="9" t="inlineStr">
        <is>
          <t>FINANCIAL</t>
        </is>
      </c>
      <c r="H26" s="9" t="inlineStr">
        <is>
          <t>SWAP</t>
        </is>
      </c>
      <c r="I26" s="9" t="inlineStr">
        <is>
          <t>Heating Degree Day</t>
        </is>
      </c>
      <c r="J26" s="9" t="inlineStr">
        <is>
          <t>Cincinatti Airport</t>
        </is>
      </c>
      <c r="K26" s="9" t="n">
        <v/>
      </c>
      <c r="L26" s="9" t="n">
        <v/>
      </c>
      <c r="M26" s="9" t="n">
        <v/>
      </c>
      <c r="N26" s="9" t="n">
        <v>0</v>
      </c>
      <c r="O26" s="9" t="n">
        <v>3841344.74</v>
      </c>
      <c r="P26" s="10">
        <f>O26-N26</f>
        <v/>
      </c>
      <c r="Q26" s="9" t="inlineStr">
        <is>
          <t>true</t>
        </is>
      </c>
    </row>
    <row r="27">
      <c r="A27" s="9" t="inlineStr">
        <is>
          <t>unexplained_result_findetail_position.xlsx</t>
        </is>
      </c>
      <c r="B27" s="9" t="inlineStr">
        <is>
          <t>Drilldown</t>
        </is>
      </c>
      <c r="C27" s="9" t="inlineStr">
        <is>
          <t>Settlement</t>
        </is>
      </c>
      <c r="D27" s="9" t="inlineStr">
        <is>
          <t>new_post</t>
        </is>
      </c>
      <c r="E27" s="9" t="inlineStr">
        <is>
          <t>4776914</t>
        </is>
      </c>
      <c r="F27" s="9" t="inlineStr">
        <is>
          <t>2291832</t>
        </is>
      </c>
      <c r="G27" s="9" t="inlineStr">
        <is>
          <t>FINANCIAL</t>
        </is>
      </c>
      <c r="H27" s="9" t="inlineStr">
        <is>
          <t>SWAP</t>
        </is>
      </c>
      <c r="I27" s="9" t="inlineStr">
        <is>
          <t>Heating Degree Day</t>
        </is>
      </c>
      <c r="J27" s="9" t="inlineStr">
        <is>
          <t>Cincinatti Airport</t>
        </is>
      </c>
      <c r="K27" s="9" t="n">
        <v/>
      </c>
      <c r="L27" s="9" t="n">
        <v/>
      </c>
      <c r="M27" s="9" t="n">
        <v/>
      </c>
      <c r="N27" s="9" t="n">
        <v>0</v>
      </c>
      <c r="O27" s="9" t="n">
        <v>1920672.37</v>
      </c>
      <c r="P27" s="10">
        <f>O27-N27</f>
        <v/>
      </c>
      <c r="Q27" s="9" t="inlineStr">
        <is>
          <t>true</t>
        </is>
      </c>
    </row>
    <row r="28">
      <c r="A28" s="9" t="inlineStr">
        <is>
          <t>unexplained_result_findetail_position.xlsx</t>
        </is>
      </c>
      <c r="B28" s="9" t="inlineStr">
        <is>
          <t>Drilldown</t>
        </is>
      </c>
      <c r="C28" s="9" t="inlineStr">
        <is>
          <t>Settlement</t>
        </is>
      </c>
      <c r="D28" s="9" t="inlineStr">
        <is>
          <t>new_post</t>
        </is>
      </c>
      <c r="E28" s="9" t="inlineStr">
        <is>
          <t>4776920</t>
        </is>
      </c>
      <c r="F28" s="9" t="inlineStr">
        <is>
          <t>2291836</t>
        </is>
      </c>
      <c r="G28" s="9" t="inlineStr">
        <is>
          <t>FINANCIAL</t>
        </is>
      </c>
      <c r="H28" s="9" t="inlineStr">
        <is>
          <t>SWAP</t>
        </is>
      </c>
      <c r="I28" s="9" t="inlineStr">
        <is>
          <t>Heating Degree Day</t>
        </is>
      </c>
      <c r="J28" s="9" t="inlineStr">
        <is>
          <t>Cincinatti Airport</t>
        </is>
      </c>
      <c r="K28" s="9" t="n">
        <v/>
      </c>
      <c r="L28" s="9" t="n">
        <v/>
      </c>
      <c r="M28" s="9" t="n">
        <v/>
      </c>
      <c r="N28" s="9" t="n">
        <v>0</v>
      </c>
      <c r="O28" s="9" t="n">
        <v>1920672.37</v>
      </c>
      <c r="P28" s="10">
        <f>O28-N28</f>
        <v/>
      </c>
      <c r="Q28" s="9" t="inlineStr">
        <is>
          <t>true</t>
        </is>
      </c>
    </row>
    <row r="29">
      <c r="A29" s="9" t="inlineStr">
        <is>
          <t>unexplained_result_findetail_position.xlsx</t>
        </is>
      </c>
      <c r="B29" s="9" t="inlineStr">
        <is>
          <t>Drilldown</t>
        </is>
      </c>
      <c r="C29" s="9" t="inlineStr">
        <is>
          <t>Settlement</t>
        </is>
      </c>
      <c r="D29" s="9" t="inlineStr">
        <is>
          <t>new_post</t>
        </is>
      </c>
      <c r="E29" s="9" t="inlineStr">
        <is>
          <t>4778254</t>
        </is>
      </c>
      <c r="F29" s="9" t="inlineStr">
        <is>
          <t>2292072</t>
        </is>
      </c>
      <c r="G29" s="9" t="inlineStr">
        <is>
          <t>FINANCIAL</t>
        </is>
      </c>
      <c r="H29" s="9" t="inlineStr">
        <is>
          <t>SWAP</t>
        </is>
      </c>
      <c r="I29" s="9" t="inlineStr">
        <is>
          <t>Heating Degree Day</t>
        </is>
      </c>
      <c r="J29" s="9" t="inlineStr">
        <is>
          <t>Cincinatti Airport</t>
        </is>
      </c>
      <c r="K29" s="9" t="n">
        <v/>
      </c>
      <c r="L29" s="9" t="n">
        <v/>
      </c>
      <c r="M29" s="9" t="n">
        <v/>
      </c>
      <c r="N29" s="9" t="n">
        <v>0</v>
      </c>
      <c r="O29" s="9" t="n">
        <v>2147660.92</v>
      </c>
      <c r="P29" s="10">
        <f>O29-N29</f>
        <v/>
      </c>
      <c r="Q29" s="9" t="inlineStr">
        <is>
          <t>true</t>
        </is>
      </c>
    </row>
    <row r="30">
      <c r="A30" s="9" t="inlineStr">
        <is>
          <t>unexplained_result_findetail_position.xlsx</t>
        </is>
      </c>
      <c r="B30" s="9" t="inlineStr">
        <is>
          <t>Drilldown</t>
        </is>
      </c>
      <c r="C30" s="9" t="inlineStr">
        <is>
          <t>Settlement</t>
        </is>
      </c>
      <c r="D30" s="9" t="inlineStr">
        <is>
          <t>new_post</t>
        </is>
      </c>
      <c r="E30" s="9" t="inlineStr">
        <is>
          <t>4778271</t>
        </is>
      </c>
      <c r="F30" s="9" t="inlineStr">
        <is>
          <t>2292081</t>
        </is>
      </c>
      <c r="G30" s="9" t="inlineStr">
        <is>
          <t>FINANCIAL</t>
        </is>
      </c>
      <c r="H30" s="9" t="inlineStr">
        <is>
          <t>SWAP</t>
        </is>
      </c>
      <c r="I30" s="9" t="inlineStr">
        <is>
          <t>Heating Degree Day</t>
        </is>
      </c>
      <c r="J30" s="9" t="inlineStr">
        <is>
          <t>Cincinatti Airport</t>
        </is>
      </c>
      <c r="K30" s="9" t="n">
        <v/>
      </c>
      <c r="L30" s="9" t="n">
        <v/>
      </c>
      <c r="M30" s="9" t="n">
        <v/>
      </c>
      <c r="N30" s="9" t="n">
        <v>0</v>
      </c>
      <c r="O30" s="9" t="n">
        <v>4295321.84</v>
      </c>
      <c r="P30" s="10">
        <f>O30-N30</f>
        <v/>
      </c>
      <c r="Q30" s="9" t="inlineStr">
        <is>
          <t>true</t>
        </is>
      </c>
    </row>
    <row r="31">
      <c r="A31" s="9" t="inlineStr">
        <is>
          <t>unexplained_result_findetail_position.xlsx</t>
        </is>
      </c>
      <c r="B31" s="9" t="inlineStr">
        <is>
          <t>Drilldown</t>
        </is>
      </c>
      <c r="C31" s="9" t="inlineStr">
        <is>
          <t>Settlement</t>
        </is>
      </c>
      <c r="D31" s="9" t="inlineStr">
        <is>
          <t>new_post</t>
        </is>
      </c>
      <c r="E31" s="9" t="inlineStr">
        <is>
          <t>4778272</t>
        </is>
      </c>
      <c r="F31" s="9" t="inlineStr">
        <is>
          <t>2292080</t>
        </is>
      </c>
      <c r="G31" s="9" t="inlineStr">
        <is>
          <t>FINANCIAL</t>
        </is>
      </c>
      <c r="H31" s="9" t="inlineStr">
        <is>
          <t>SWAP</t>
        </is>
      </c>
      <c r="I31" s="9" t="inlineStr">
        <is>
          <t>Heating Degree Day</t>
        </is>
      </c>
      <c r="J31" s="9" t="inlineStr">
        <is>
          <t>Cincinatti Airport</t>
        </is>
      </c>
      <c r="K31" s="9" t="n">
        <v/>
      </c>
      <c r="L31" s="9" t="n">
        <v/>
      </c>
      <c r="M31" s="9" t="n">
        <v/>
      </c>
      <c r="N31" s="9" t="n">
        <v>0</v>
      </c>
      <c r="O31" s="9" t="n">
        <v>2147660.92</v>
      </c>
      <c r="P31" s="10">
        <f>O31-N31</f>
        <v/>
      </c>
      <c r="Q31" s="9" t="inlineStr">
        <is>
          <t>true</t>
        </is>
      </c>
    </row>
    <row r="32">
      <c r="A32" s="9" t="inlineStr">
        <is>
          <t>unexplained_result_findetail_position.xlsx</t>
        </is>
      </c>
      <c r="B32" s="9" t="inlineStr">
        <is>
          <t>Drilldown</t>
        </is>
      </c>
      <c r="C32" s="9" t="inlineStr">
        <is>
          <t>Settlement</t>
        </is>
      </c>
      <c r="D32" s="9" t="inlineStr">
        <is>
          <t>new_post</t>
        </is>
      </c>
      <c r="E32" s="9" t="inlineStr">
        <is>
          <t>4778279</t>
        </is>
      </c>
      <c r="F32" s="9" t="inlineStr">
        <is>
          <t>2292084</t>
        </is>
      </c>
      <c r="G32" s="9" t="inlineStr">
        <is>
          <t>FINANCIAL</t>
        </is>
      </c>
      <c r="H32" s="9" t="inlineStr">
        <is>
          <t>SWAP</t>
        </is>
      </c>
      <c r="I32" s="9" t="inlineStr">
        <is>
          <t>Heating Degree Day</t>
        </is>
      </c>
      <c r="J32" s="9" t="inlineStr">
        <is>
          <t>Cincinatti Airport</t>
        </is>
      </c>
      <c r="K32" s="9" t="n">
        <v/>
      </c>
      <c r="L32" s="9" t="n">
        <v/>
      </c>
      <c r="M32" s="9" t="n">
        <v/>
      </c>
      <c r="N32" s="9" t="n">
        <v>0</v>
      </c>
      <c r="O32" s="9" t="n">
        <v>1920672.37</v>
      </c>
      <c r="P32" s="10">
        <f>O32-N32</f>
        <v/>
      </c>
      <c r="Q32" s="9" t="inlineStr">
        <is>
          <t>true</t>
        </is>
      </c>
    </row>
    <row r="33">
      <c r="A33" s="9" t="inlineStr">
        <is>
          <t>unexplained_result_findetail_position.xlsx</t>
        </is>
      </c>
      <c r="B33" s="9" t="inlineStr">
        <is>
          <t>Drilldown</t>
        </is>
      </c>
      <c r="C33" s="9" t="inlineStr">
        <is>
          <t>Settlement</t>
        </is>
      </c>
      <c r="D33" s="9" t="inlineStr">
        <is>
          <t>new_post</t>
        </is>
      </c>
      <c r="E33" s="9" t="inlineStr">
        <is>
          <t>4778295</t>
        </is>
      </c>
      <c r="F33" s="9" t="inlineStr">
        <is>
          <t>2292093</t>
        </is>
      </c>
      <c r="G33" s="9" t="inlineStr">
        <is>
          <t>FINANCIAL</t>
        </is>
      </c>
      <c r="H33" s="9" t="inlineStr">
        <is>
          <t>SWAP</t>
        </is>
      </c>
      <c r="I33" s="9" t="inlineStr">
        <is>
          <t>Heating Degree Day</t>
        </is>
      </c>
      <c r="J33" s="9" t="inlineStr">
        <is>
          <t>Cincinatti Airport</t>
        </is>
      </c>
      <c r="K33" s="9" t="n">
        <v/>
      </c>
      <c r="L33" s="9" t="n">
        <v/>
      </c>
      <c r="M33" s="9" t="n">
        <v/>
      </c>
      <c r="N33" s="9" t="n">
        <v>0</v>
      </c>
      <c r="O33" s="9" t="n">
        <v>1920672.37</v>
      </c>
      <c r="P33" s="10">
        <f>O33-N33</f>
        <v/>
      </c>
      <c r="Q33" s="9" t="inlineStr">
        <is>
          <t>true</t>
        </is>
      </c>
    </row>
    <row r="34">
      <c r="A34" s="9" t="inlineStr">
        <is>
          <t>unexplained_result_findetail_position.xlsx</t>
        </is>
      </c>
      <c r="B34" s="9" t="inlineStr">
        <is>
          <t>Drilldown</t>
        </is>
      </c>
      <c r="C34" s="9" t="inlineStr">
        <is>
          <t>Settlement</t>
        </is>
      </c>
      <c r="D34" s="9" t="inlineStr">
        <is>
          <t>new_post</t>
        </is>
      </c>
      <c r="E34" s="9" t="inlineStr">
        <is>
          <t>4778297</t>
        </is>
      </c>
      <c r="F34" s="9" t="inlineStr">
        <is>
          <t>2292092</t>
        </is>
      </c>
      <c r="G34" s="9" t="inlineStr">
        <is>
          <t>FINANCIAL</t>
        </is>
      </c>
      <c r="H34" s="9" t="inlineStr">
        <is>
          <t>SWAP</t>
        </is>
      </c>
      <c r="I34" s="9" t="inlineStr">
        <is>
          <t>Heating Degree Day</t>
        </is>
      </c>
      <c r="J34" s="9" t="inlineStr">
        <is>
          <t>Cincinatti Airport</t>
        </is>
      </c>
      <c r="K34" s="9" t="n">
        <v/>
      </c>
      <c r="L34" s="9" t="n">
        <v/>
      </c>
      <c r="M34" s="9" t="n">
        <v/>
      </c>
      <c r="N34" s="9" t="n">
        <v>0</v>
      </c>
      <c r="O34" s="9" t="n">
        <v>3841344.74</v>
      </c>
      <c r="P34" s="10">
        <f>O34-N34</f>
        <v/>
      </c>
      <c r="Q34" s="9" t="inlineStr">
        <is>
          <t>true</t>
        </is>
      </c>
    </row>
    <row r="35">
      <c r="A35" s="9" t="inlineStr">
        <is>
          <t>unexplained_result_findetail_position.xlsx</t>
        </is>
      </c>
      <c r="B35" s="9" t="inlineStr">
        <is>
          <t>Drilldown</t>
        </is>
      </c>
      <c r="C35" s="9" t="inlineStr">
        <is>
          <t>Settlement</t>
        </is>
      </c>
      <c r="D35" s="9" t="inlineStr">
        <is>
          <t>new_post</t>
        </is>
      </c>
      <c r="E35" s="9" t="inlineStr">
        <is>
          <t>4861605</t>
        </is>
      </c>
      <c r="F35" s="9" t="inlineStr">
        <is>
          <t>2320121</t>
        </is>
      </c>
      <c r="G35" s="9" t="inlineStr">
        <is>
          <t>FINANCIAL</t>
        </is>
      </c>
      <c r="H35" s="9" t="inlineStr">
        <is>
          <t>SWAP</t>
        </is>
      </c>
      <c r="I35" s="9" t="inlineStr">
        <is>
          <t>Heating Degree Day</t>
        </is>
      </c>
      <c r="J35" s="9" t="inlineStr">
        <is>
          <t>Cincinatti Airport</t>
        </is>
      </c>
      <c r="K35" s="9" t="n">
        <v/>
      </c>
      <c r="L35" s="9" t="n">
        <v/>
      </c>
      <c r="M35" s="9" t="n">
        <v/>
      </c>
      <c r="N35" s="9" t="n">
        <v>0</v>
      </c>
      <c r="O35" s="9" t="n">
        <v>6257899.79</v>
      </c>
      <c r="P35" s="10">
        <f>O35-N35</f>
        <v/>
      </c>
      <c r="Q35" s="9" t="inlineStr">
        <is>
          <t>true</t>
        </is>
      </c>
    </row>
    <row r="36">
      <c r="A36" s="9" t="inlineStr">
        <is>
          <t>unexplained_result_findetail_position.xlsx</t>
        </is>
      </c>
      <c r="B36" s="9" t="inlineStr">
        <is>
          <t>Drilldown</t>
        </is>
      </c>
      <c r="C36" s="9" t="inlineStr">
        <is>
          <t>Settlement</t>
        </is>
      </c>
      <c r="D36" s="9" t="inlineStr">
        <is>
          <t>new_post</t>
        </is>
      </c>
      <c r="E36" s="9" t="inlineStr">
        <is>
          <t>4861624</t>
        </is>
      </c>
      <c r="F36" s="9" t="inlineStr">
        <is>
          <t>2320140</t>
        </is>
      </c>
      <c r="G36" s="9" t="inlineStr">
        <is>
          <t>FINANCIAL</t>
        </is>
      </c>
      <c r="H36" s="9" t="inlineStr">
        <is>
          <t>SWAP</t>
        </is>
      </c>
      <c r="I36" s="9" t="inlineStr">
        <is>
          <t>Heating Degree Day</t>
        </is>
      </c>
      <c r="J36" s="9" t="inlineStr">
        <is>
          <t>Cincinatti Airport</t>
        </is>
      </c>
      <c r="K36" s="9" t="n">
        <v/>
      </c>
      <c r="L36" s="9" t="n">
        <v/>
      </c>
      <c r="M36" s="9" t="n">
        <v/>
      </c>
      <c r="N36" s="9" t="n">
        <v>0</v>
      </c>
      <c r="O36" s="9" t="n">
        <v>1564474.95</v>
      </c>
      <c r="P36" s="10">
        <f>O36-N36</f>
        <v/>
      </c>
      <c r="Q36" s="9" t="inlineStr">
        <is>
          <t>true</t>
        </is>
      </c>
    </row>
    <row r="37">
      <c r="A37" s="9" t="inlineStr">
        <is>
          <t>unexplained_result_findetail_position.xlsx</t>
        </is>
      </c>
      <c r="B37" s="9" t="inlineStr">
        <is>
          <t>Drilldown</t>
        </is>
      </c>
      <c r="C37" s="9" t="inlineStr">
        <is>
          <t>Settlement</t>
        </is>
      </c>
      <c r="D37" s="9" t="inlineStr">
        <is>
          <t>new_post</t>
        </is>
      </c>
      <c r="E37" s="9" t="inlineStr">
        <is>
          <t>4863095</t>
        </is>
      </c>
      <c r="F37" s="9" t="inlineStr">
        <is>
          <t>2320256</t>
        </is>
      </c>
      <c r="G37" s="9" t="inlineStr">
        <is>
          <t>FINANCIAL</t>
        </is>
      </c>
      <c r="H37" s="9" t="inlineStr">
        <is>
          <t>SWAP</t>
        </is>
      </c>
      <c r="I37" s="9" t="inlineStr">
        <is>
          <t>Heating Degree Day</t>
        </is>
      </c>
      <c r="J37" s="9" t="inlineStr">
        <is>
          <t>Cincinatti Airport</t>
        </is>
      </c>
      <c r="K37" s="9" t="n">
        <v/>
      </c>
      <c r="L37" s="9" t="n">
        <v/>
      </c>
      <c r="M37" s="9" t="n">
        <v/>
      </c>
      <c r="N37" s="9" t="n">
        <v>0</v>
      </c>
      <c r="O37" s="9" t="n">
        <v>1718128.74</v>
      </c>
      <c r="P37" s="10">
        <f>O37-N37</f>
        <v/>
      </c>
      <c r="Q37" s="9" t="inlineStr">
        <is>
          <t>true</t>
        </is>
      </c>
    </row>
    <row r="38">
      <c r="A38" s="9" t="inlineStr">
        <is>
          <t>unexplained_result_findetail_position.xlsx</t>
        </is>
      </c>
      <c r="B38" s="9" t="inlineStr">
        <is>
          <t>Drilldown</t>
        </is>
      </c>
      <c r="C38" s="9" t="inlineStr">
        <is>
          <t>Settlement</t>
        </is>
      </c>
      <c r="D38" s="9" t="inlineStr">
        <is>
          <t>new_post</t>
        </is>
      </c>
      <c r="E38" s="9" t="inlineStr">
        <is>
          <t>4863103</t>
        </is>
      </c>
      <c r="F38" s="9" t="inlineStr">
        <is>
          <t>2320264</t>
        </is>
      </c>
      <c r="G38" s="9" t="inlineStr">
        <is>
          <t>FINANCIAL</t>
        </is>
      </c>
      <c r="H38" s="9" t="inlineStr">
        <is>
          <t>SWAP</t>
        </is>
      </c>
      <c r="I38" s="9" t="inlineStr">
        <is>
          <t>Heating Degree Day</t>
        </is>
      </c>
      <c r="J38" s="9" t="inlineStr">
        <is>
          <t>Cincinatti Airport</t>
        </is>
      </c>
      <c r="K38" s="9" t="n">
        <v/>
      </c>
      <c r="L38" s="9" t="n">
        <v/>
      </c>
      <c r="M38" s="9" t="n">
        <v/>
      </c>
      <c r="N38" s="9" t="n">
        <v>0</v>
      </c>
      <c r="O38" s="9" t="n">
        <v>6872514.95</v>
      </c>
      <c r="P38" s="10">
        <f>O38-N38</f>
        <v/>
      </c>
      <c r="Q38" s="9" t="inlineStr">
        <is>
          <t>true</t>
        </is>
      </c>
    </row>
    <row r="39">
      <c r="A39" s="9" t="inlineStr">
        <is>
          <t>unexplained_result_findetail_position.xlsx</t>
        </is>
      </c>
      <c r="B39" s="9" t="inlineStr">
        <is>
          <t>Drilldown</t>
        </is>
      </c>
      <c r="C39" s="9" t="inlineStr">
        <is>
          <t>Settlement</t>
        </is>
      </c>
      <c r="D39" s="9" t="inlineStr">
        <is>
          <t>new_post</t>
        </is>
      </c>
      <c r="E39" s="9" t="inlineStr">
        <is>
          <t>4863110</t>
        </is>
      </c>
      <c r="F39" s="9" t="inlineStr">
        <is>
          <t>2320271</t>
        </is>
      </c>
      <c r="G39" s="9" t="inlineStr">
        <is>
          <t>FINANCIAL</t>
        </is>
      </c>
      <c r="H39" s="9" t="inlineStr">
        <is>
          <t>SWAP</t>
        </is>
      </c>
      <c r="I39" s="9" t="inlineStr">
        <is>
          <t>Heating Degree Day</t>
        </is>
      </c>
      <c r="J39" s="9" t="inlineStr">
        <is>
          <t>Cincinatti Airport</t>
        </is>
      </c>
      <c r="K39" s="9" t="n">
        <v/>
      </c>
      <c r="L39" s="9" t="n">
        <v/>
      </c>
      <c r="M39" s="9" t="n">
        <v/>
      </c>
      <c r="N39" s="9" t="n">
        <v>0</v>
      </c>
      <c r="O39" s="9" t="n">
        <v>1564474.95</v>
      </c>
      <c r="P39" s="10">
        <f>O39-N39</f>
        <v/>
      </c>
      <c r="Q39" s="9" t="inlineStr">
        <is>
          <t>true</t>
        </is>
      </c>
    </row>
    <row r="40">
      <c r="A40" s="9" t="inlineStr">
        <is>
          <t>unexplained_result_findetail_position.xlsx</t>
        </is>
      </c>
      <c r="B40" s="9" t="inlineStr">
        <is>
          <t>Drilldown</t>
        </is>
      </c>
      <c r="C40" s="9" t="inlineStr">
        <is>
          <t>Settlement</t>
        </is>
      </c>
      <c r="D40" s="9" t="inlineStr">
        <is>
          <t>new_post</t>
        </is>
      </c>
      <c r="E40" s="9" t="inlineStr">
        <is>
          <t>4863114</t>
        </is>
      </c>
      <c r="F40" s="9" t="inlineStr">
        <is>
          <t>2320275</t>
        </is>
      </c>
      <c r="G40" s="9" t="inlineStr">
        <is>
          <t>FINANCIAL</t>
        </is>
      </c>
      <c r="H40" s="9" t="inlineStr">
        <is>
          <t>SWAP</t>
        </is>
      </c>
      <c r="I40" s="9" t="inlineStr">
        <is>
          <t>Heating Degree Day</t>
        </is>
      </c>
      <c r="J40" s="9" t="inlineStr">
        <is>
          <t>Cincinatti Airport</t>
        </is>
      </c>
      <c r="K40" s="9" t="n">
        <v/>
      </c>
      <c r="L40" s="9" t="n">
        <v/>
      </c>
      <c r="M40" s="9" t="n">
        <v/>
      </c>
      <c r="N40" s="9" t="n">
        <v>0</v>
      </c>
      <c r="O40" s="9" t="n">
        <v>6257899.79</v>
      </c>
      <c r="P40" s="10">
        <f>O40-N40</f>
        <v/>
      </c>
      <c r="Q40" s="9" t="inlineStr">
        <is>
          <t>true</t>
        </is>
      </c>
    </row>
    <row r="41">
      <c r="A41" s="8" t="inlineStr">
        <is>
          <t>ISSUE - Missing position (post)  (1 rows)</t>
        </is>
      </c>
    </row>
    <row r="42">
      <c r="A42" s="11" t="inlineStr">
        <is>
          <t>unexplained_result_findetail_position.xlsx</t>
        </is>
      </c>
      <c r="B42" s="11" t="inlineStr">
        <is>
          <t>Drilldown</t>
        </is>
      </c>
      <c r="C42" s="11" t="inlineStr">
        <is>
          <t>Settlement</t>
        </is>
      </c>
      <c r="D42" s="11" t="inlineStr">
        <is>
          <t>missing_post</t>
        </is>
      </c>
      <c r="E42" s="11" t="n">
        <v>3247645</v>
      </c>
      <c r="F42" s="11" t="inlineStr">
        <is>
          <t>1787963</t>
        </is>
      </c>
      <c r="G42" s="11" t="inlineStr">
        <is>
          <t>PHYSICAL</t>
        </is>
      </c>
      <c r="H42" s="11" t="inlineStr">
        <is>
          <t>BUY</t>
        </is>
      </c>
      <c r="I42" s="11" t="inlineStr">
        <is>
          <t>Natural Gas</t>
        </is>
      </c>
      <c r="J42" s="11" t="inlineStr">
        <is>
          <t>Houston Ship Channel</t>
        </is>
      </c>
      <c r="K42" s="11" t="n">
        <v/>
      </c>
      <c r="L42" s="11" t="n">
        <v/>
      </c>
      <c r="M42" s="11" t="n">
        <v/>
      </c>
      <c r="N42" s="11" t="n">
        <v>0</v>
      </c>
      <c r="O42" s="11" t="n">
        <v>0</v>
      </c>
      <c r="P42" s="12">
        <f>O42-N42</f>
        <v/>
      </c>
      <c r="Q42" s="11" t="inlineStr">
        <is>
          <t>true</t>
        </is>
      </c>
    </row>
    <row r="43">
      <c r="A43" s="8" t="inlineStr">
        <is>
          <t>FALSE - no issue  (6 rows)</t>
        </is>
      </c>
    </row>
    <row r="44">
      <c r="A44" s="13" t="inlineStr">
        <is>
          <t>unexplained_result_findetail_position.xlsx</t>
        </is>
      </c>
      <c r="B44" s="13" t="inlineStr">
        <is>
          <t>Drilldown</t>
        </is>
      </c>
      <c r="C44" s="13" t="inlineStr">
        <is>
          <t>Settlement</t>
        </is>
      </c>
      <c r="D44" s="13" t="inlineStr">
        <is>
          <t>mismatch</t>
        </is>
      </c>
      <c r="E44" s="13" t="n">
        <v>4893021</v>
      </c>
      <c r="F44" s="13" t="inlineStr">
        <is>
          <t>2333050</t>
        </is>
      </c>
      <c r="G44" s="13" t="inlineStr">
        <is>
          <t>PHYSICAL</t>
        </is>
      </c>
      <c r="H44" s="13" t="inlineStr">
        <is>
          <t>BUY</t>
        </is>
      </c>
      <c r="I44" s="13" t="inlineStr">
        <is>
          <t>Gas Transportation</t>
        </is>
      </c>
      <c r="J44" s="13" t="inlineStr">
        <is>
          <t>TET M2</t>
        </is>
      </c>
      <c r="K44" s="13" t="n">
        <v/>
      </c>
      <c r="L44" s="13" t="n">
        <v/>
      </c>
      <c r="M44" s="13" t="n">
        <v/>
      </c>
      <c r="N44" s="13" t="n">
        <v>0</v>
      </c>
      <c r="O44" s="13" t="n">
        <v>0</v>
      </c>
      <c r="P44" s="14">
        <f>O44-N44</f>
        <v/>
      </c>
      <c r="Q44" s="13" t="inlineStr">
        <is>
          <t>false</t>
        </is>
      </c>
    </row>
    <row r="45">
      <c r="A45" s="13" t="inlineStr">
        <is>
          <t>unexplained_result_findetail_position.xlsx</t>
        </is>
      </c>
      <c r="B45" s="13" t="inlineStr">
        <is>
          <t>Drilldown</t>
        </is>
      </c>
      <c r="C45" s="13" t="inlineStr">
        <is>
          <t>Settlement</t>
        </is>
      </c>
      <c r="D45" s="13" t="inlineStr">
        <is>
          <t>mismatch</t>
        </is>
      </c>
      <c r="E45" s="13" t="n">
        <v>1248020</v>
      </c>
      <c r="F45" s="13" t="inlineStr">
        <is>
          <t>1083565</t>
        </is>
      </c>
      <c r="G45" s="13" t="inlineStr">
        <is>
          <t>PHYSICAL</t>
        </is>
      </c>
      <c r="H45" s="13" t="inlineStr">
        <is>
          <t>BUY</t>
        </is>
      </c>
      <c r="I45" s="13" t="inlineStr">
        <is>
          <t>Gas Storage</t>
        </is>
      </c>
      <c r="J45" s="13" t="inlineStr">
        <is>
          <t>Chicago City Gates</t>
        </is>
      </c>
      <c r="K45" s="13" t="n">
        <v/>
      </c>
      <c r="L45" s="13" t="n">
        <v/>
      </c>
      <c r="M45" s="13" t="n">
        <v/>
      </c>
      <c r="N45" s="13" t="n">
        <v>0</v>
      </c>
      <c r="O45" s="13" t="n">
        <v>0</v>
      </c>
      <c r="P45" s="14">
        <f>O45-N45</f>
        <v/>
      </c>
      <c r="Q45" s="13" t="inlineStr">
        <is>
          <t>false</t>
        </is>
      </c>
    </row>
    <row r="46">
      <c r="A46" s="13" t="inlineStr">
        <is>
          <t>unexplained_result_findetail_position.xlsx</t>
        </is>
      </c>
      <c r="B46" s="13" t="inlineStr">
        <is>
          <t>Drilldown</t>
        </is>
      </c>
      <c r="C46" s="13" t="inlineStr">
        <is>
          <t>Settlement</t>
        </is>
      </c>
      <c r="D46" s="13" t="inlineStr">
        <is>
          <t>mismatch</t>
        </is>
      </c>
      <c r="E46" s="13" t="n">
        <v>2706967</v>
      </c>
      <c r="F46" s="13" t="inlineStr">
        <is>
          <t>1634623</t>
        </is>
      </c>
      <c r="G46" s="13" t="inlineStr">
        <is>
          <t>PHYSICAL</t>
        </is>
      </c>
      <c r="H46" s="13" t="inlineStr">
        <is>
          <t>BUY</t>
        </is>
      </c>
      <c r="I46" s="13" t="inlineStr">
        <is>
          <t>Gas Storage</t>
        </is>
      </c>
      <c r="J46" s="13" t="inlineStr">
        <is>
          <t>Worsham Storage</t>
        </is>
      </c>
      <c r="K46" s="13" t="n">
        <v/>
      </c>
      <c r="L46" s="13" t="n">
        <v/>
      </c>
      <c r="M46" s="13" t="n">
        <v/>
      </c>
      <c r="N46" s="13" t="n">
        <v>0</v>
      </c>
      <c r="O46" s="13" t="n">
        <v>0</v>
      </c>
      <c r="P46" s="14">
        <f>O46-N46</f>
        <v/>
      </c>
      <c r="Q46" s="13" t="inlineStr">
        <is>
          <t>false</t>
        </is>
      </c>
    </row>
    <row r="47">
      <c r="A47" s="13" t="inlineStr">
        <is>
          <t>unexplained_result_findetail_position.xlsx</t>
        </is>
      </c>
      <c r="B47" s="13" t="inlineStr">
        <is>
          <t>Drilldown</t>
        </is>
      </c>
      <c r="C47" s="13" t="inlineStr">
        <is>
          <t>Settlement</t>
        </is>
      </c>
      <c r="D47" s="13" t="inlineStr">
        <is>
          <t>mismatch</t>
        </is>
      </c>
      <c r="E47" s="13" t="n">
        <v>3718624</v>
      </c>
      <c r="F47" s="13" t="inlineStr">
        <is>
          <t>1953951</t>
        </is>
      </c>
      <c r="G47" s="13" t="inlineStr">
        <is>
          <t>PHYSICAL</t>
        </is>
      </c>
      <c r="H47" s="13" t="inlineStr">
        <is>
          <t>BUY</t>
        </is>
      </c>
      <c r="I47" s="13" t="inlineStr">
        <is>
          <t>REC Texas</t>
        </is>
      </c>
      <c r="J47" s="13" t="inlineStr">
        <is>
          <t>REC V2026</t>
        </is>
      </c>
      <c r="K47" s="13" t="n">
        <v/>
      </c>
      <c r="L47" s="13" t="n">
        <v/>
      </c>
      <c r="M47" s="13" t="n">
        <v/>
      </c>
      <c r="N47" s="13" t="n">
        <v>0</v>
      </c>
      <c r="O47" s="13" t="n">
        <v>0</v>
      </c>
      <c r="P47" s="14">
        <f>O47-N47</f>
        <v/>
      </c>
      <c r="Q47" s="13" t="inlineStr">
        <is>
          <t>false</t>
        </is>
      </c>
    </row>
    <row r="48">
      <c r="A48" s="13" t="inlineStr">
        <is>
          <t>unexplained_result_findetail_position.xlsx</t>
        </is>
      </c>
      <c r="B48" s="13" t="inlineStr">
        <is>
          <t>Drilldown</t>
        </is>
      </c>
      <c r="C48" s="13" t="inlineStr">
        <is>
          <t>Settlement</t>
        </is>
      </c>
      <c r="D48" s="13" t="inlineStr">
        <is>
          <t>mismatch</t>
        </is>
      </c>
      <c r="E48" s="13" t="n">
        <v>4760336</v>
      </c>
      <c r="F48" s="13" t="inlineStr">
        <is>
          <t>2286187</t>
        </is>
      </c>
      <c r="G48" s="13" t="inlineStr">
        <is>
          <t>PHYSICAL</t>
        </is>
      </c>
      <c r="H48" s="13" t="inlineStr">
        <is>
          <t>BUY</t>
        </is>
      </c>
      <c r="I48" s="13" t="inlineStr">
        <is>
          <t>Gas Transportation</t>
        </is>
      </c>
      <c r="J48" s="13" t="inlineStr">
        <is>
          <t>PGE CG</t>
        </is>
      </c>
      <c r="K48" s="13" t="n">
        <v/>
      </c>
      <c r="L48" s="13" t="n">
        <v/>
      </c>
      <c r="M48" s="13" t="n">
        <v/>
      </c>
      <c r="N48" s="13" t="n">
        <v>0</v>
      </c>
      <c r="O48" s="13" t="n">
        <v>0</v>
      </c>
      <c r="P48" s="14">
        <f>O48-N48</f>
        <v/>
      </c>
      <c r="Q48" s="13" t="inlineStr">
        <is>
          <t>false</t>
        </is>
      </c>
    </row>
    <row r="49">
      <c r="A49" s="13" t="inlineStr">
        <is>
          <t>unexplained_result_findetail_position.xlsx</t>
        </is>
      </c>
      <c r="B49" s="13" t="inlineStr">
        <is>
          <t>Drilldown</t>
        </is>
      </c>
      <c r="C49" s="13" t="inlineStr">
        <is>
          <t>Settlement</t>
        </is>
      </c>
      <c r="D49" s="13" t="inlineStr">
        <is>
          <t>mismatch</t>
        </is>
      </c>
      <c r="E49" s="13" t="n">
        <v>4902289</v>
      </c>
      <c r="F49" s="13" t="inlineStr">
        <is>
          <t>2334927</t>
        </is>
      </c>
      <c r="G49" s="13" t="inlineStr">
        <is>
          <t>PHYSICAL</t>
        </is>
      </c>
      <c r="H49" s="13" t="inlineStr">
        <is>
          <t>BUY</t>
        </is>
      </c>
      <c r="I49" s="13" t="inlineStr">
        <is>
          <t>ULSD</t>
        </is>
      </c>
      <c r="J49" s="13" t="inlineStr">
        <is>
          <t>Hopewell Plant</t>
        </is>
      </c>
      <c r="K49" s="13" t="n">
        <v/>
      </c>
      <c r="L49" s="13" t="n">
        <v/>
      </c>
      <c r="M49" s="13" t="n">
        <v/>
      </c>
      <c r="N49" s="13" t="n">
        <v>0</v>
      </c>
      <c r="O49" s="13" t="n">
        <v>0</v>
      </c>
      <c r="P49" s="14">
        <f>O49-N49</f>
        <v/>
      </c>
      <c r="Q49" s="13" t="inlineStr">
        <is>
          <t>false</t>
        </is>
      </c>
    </row>
  </sheetData>
  <mergeCells count="3">
    <mergeCell ref="A43:Q43"/>
    <mergeCell ref="A5:Q5"/>
    <mergeCell ref="A41:Q4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50"/>
  <sheetViews>
    <sheetView showGridLines="0" workbookViewId="0">
      <pane ySplit="3" topLeftCell="A4" activePane="bottomLeft" state="frozen"/>
      <selection pane="bottomLeft"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6" customWidth="1" min="14" max="14"/>
    <col width="16" customWidth="1" min="15" max="15"/>
    <col width="16" customWidth="1" min="16" max="16"/>
    <col width="10" customWidth="1" min="17" max="17"/>
  </cols>
  <sheetData>
    <row r="1">
      <c r="A1" s="1" t="inlineStr">
        <is>
          <t>Triage: debit_mismatch</t>
        </is>
      </c>
    </row>
    <row r="2">
      <c r="A2" s="2" t="inlineStr">
        <is>
          <t>Rows grouped by mismatch type (each is a distinct issue), then FALSE (no issue).</t>
        </is>
      </c>
    </row>
    <row r="4">
      <c r="A4" s="3" t="inlineStr">
        <is>
          <t>source_file</t>
        </is>
      </c>
      <c r="B4" s="3" t="inlineStr">
        <is>
          <t>sheet_name</t>
        </is>
      </c>
      <c r="C4" s="3" t="inlineStr">
        <is>
          <t>process_type</t>
        </is>
      </c>
      <c r="D4" s="3" t="inlineStr">
        <is>
          <t>mismatchtype</t>
        </is>
      </c>
      <c r="E4" s="3" t="inlineStr">
        <is>
          <t>position</t>
        </is>
      </c>
      <c r="F4" s="3" t="inlineStr">
        <is>
          <t>trade</t>
        </is>
      </c>
      <c r="G4" s="3" t="inlineStr">
        <is>
          <t>positionmode</t>
        </is>
      </c>
      <c r="H4" s="3" t="inlineStr">
        <is>
          <t>positiontype</t>
        </is>
      </c>
      <c r="I4" s="3" t="inlineStr">
        <is>
          <t>product</t>
        </is>
      </c>
      <c r="J4" s="3" t="inlineStr">
        <is>
          <t>marketarea</t>
        </is>
      </c>
      <c r="K4" s="3" t="inlineStr">
        <is>
          <t>var_category</t>
        </is>
      </c>
      <c r="L4" s="3" t="inlineStr">
        <is>
          <t>var_id</t>
        </is>
      </c>
      <c r="M4" s="3" t="inlineStr">
        <is>
          <t>comments</t>
        </is>
      </c>
      <c r="N4" s="3" t="inlineStr">
        <is>
          <t>pre_debitsum</t>
        </is>
      </c>
      <c r="O4" s="3" t="inlineStr">
        <is>
          <t>post_debitsum</t>
        </is>
      </c>
      <c r="P4" s="3" t="inlineStr">
        <is>
          <t>difference (post - pre)</t>
        </is>
      </c>
      <c r="Q4" s="3" t="inlineStr">
        <is>
          <t>debit_mismatch</t>
        </is>
      </c>
    </row>
    <row r="5">
      <c r="A5" s="8" t="inlineStr">
        <is>
          <t>ISSUE - Mismatch  (3 rows)</t>
        </is>
      </c>
    </row>
    <row r="6">
      <c r="A6" s="15" t="inlineStr">
        <is>
          <t>unexplained_result_findetail_position.xlsx</t>
        </is>
      </c>
      <c r="B6" s="15" t="inlineStr">
        <is>
          <t>Drilldown</t>
        </is>
      </c>
      <c r="C6" s="15" t="inlineStr">
        <is>
          <t>Settlement</t>
        </is>
      </c>
      <c r="D6" s="15" t="inlineStr">
        <is>
          <t>mismatch</t>
        </is>
      </c>
      <c r="E6" s="15" t="n">
        <v>4893021</v>
      </c>
      <c r="F6" s="15" t="inlineStr">
        <is>
          <t>2333050</t>
        </is>
      </c>
      <c r="G6" s="15" t="inlineStr">
        <is>
          <t>PHYSICAL</t>
        </is>
      </c>
      <c r="H6" s="15" t="inlineStr">
        <is>
          <t>BUY</t>
        </is>
      </c>
      <c r="I6" s="15" t="inlineStr">
        <is>
          <t>Gas Transportation</t>
        </is>
      </c>
      <c r="J6" s="15" t="inlineStr">
        <is>
          <t>TET M2</t>
        </is>
      </c>
      <c r="K6" s="15" t="n">
        <v/>
      </c>
      <c r="L6" s="15" t="n">
        <v/>
      </c>
      <c r="M6" s="15" t="n">
        <v/>
      </c>
      <c r="N6" s="15" t="n">
        <v>32827.5</v>
      </c>
      <c r="O6" s="15" t="n">
        <v>17685</v>
      </c>
      <c r="P6" s="16">
        <f>O6-N6</f>
        <v/>
      </c>
      <c r="Q6" s="15" t="inlineStr">
        <is>
          <t>true</t>
        </is>
      </c>
    </row>
    <row r="7">
      <c r="A7" s="15" t="inlineStr">
        <is>
          <t>unexplained_result_findetail_position.xlsx</t>
        </is>
      </c>
      <c r="B7" s="15" t="inlineStr">
        <is>
          <t>Drilldown</t>
        </is>
      </c>
      <c r="C7" s="15" t="inlineStr">
        <is>
          <t>Settlement</t>
        </is>
      </c>
      <c r="D7" s="15" t="inlineStr">
        <is>
          <t>mismatch</t>
        </is>
      </c>
      <c r="E7" s="15" t="n">
        <v>4760336</v>
      </c>
      <c r="F7" s="15" t="inlineStr">
        <is>
          <t>2286187</t>
        </is>
      </c>
      <c r="G7" s="15" t="inlineStr">
        <is>
          <t>PHYSICAL</t>
        </is>
      </c>
      <c r="H7" s="15" t="inlineStr">
        <is>
          <t>BUY</t>
        </is>
      </c>
      <c r="I7" s="15" t="inlineStr">
        <is>
          <t>Gas Transportation</t>
        </is>
      </c>
      <c r="J7" s="15" t="inlineStr">
        <is>
          <t>PGE CG</t>
        </is>
      </c>
      <c r="K7" s="15" t="n">
        <v/>
      </c>
      <c r="L7" s="15" t="n">
        <v/>
      </c>
      <c r="M7" s="15" t="n">
        <v/>
      </c>
      <c r="N7" s="15" t="n">
        <v>28037.72</v>
      </c>
      <c r="O7" s="15" t="n">
        <v>11651.51</v>
      </c>
      <c r="P7" s="16">
        <f>O7-N7</f>
        <v/>
      </c>
      <c r="Q7" s="15" t="inlineStr">
        <is>
          <t>true</t>
        </is>
      </c>
    </row>
    <row r="8">
      <c r="A8" s="15" t="inlineStr">
        <is>
          <t>unexplained_result_findetail_position.xlsx</t>
        </is>
      </c>
      <c r="B8" s="15" t="inlineStr">
        <is>
          <t>Drilldown</t>
        </is>
      </c>
      <c r="C8" s="15" t="inlineStr">
        <is>
          <t>Settlement</t>
        </is>
      </c>
      <c r="D8" s="15" t="inlineStr">
        <is>
          <t>mismatch</t>
        </is>
      </c>
      <c r="E8" s="15" t="n">
        <v>4902289</v>
      </c>
      <c r="F8" s="15" t="inlineStr">
        <is>
          <t>2334927</t>
        </is>
      </c>
      <c r="G8" s="15" t="inlineStr">
        <is>
          <t>PHYSICAL</t>
        </is>
      </c>
      <c r="H8" s="15" t="inlineStr">
        <is>
          <t>BUY</t>
        </is>
      </c>
      <c r="I8" s="15" t="inlineStr">
        <is>
          <t>ULSD</t>
        </is>
      </c>
      <c r="J8" s="15" t="inlineStr">
        <is>
          <t>Hopewell Plant</t>
        </is>
      </c>
      <c r="K8" s="15" t="n">
        <v/>
      </c>
      <c r="L8" s="15" t="n">
        <v/>
      </c>
      <c r="M8" s="15" t="n">
        <v/>
      </c>
      <c r="N8" s="15" t="n">
        <v>0</v>
      </c>
      <c r="O8" s="15" t="n">
        <v>2370.13</v>
      </c>
      <c r="P8" s="16">
        <f>O8-N8</f>
        <v/>
      </c>
      <c r="Q8" s="15" t="inlineStr">
        <is>
          <t>true</t>
        </is>
      </c>
    </row>
    <row r="9">
      <c r="A9" s="8" t="inlineStr">
        <is>
          <t>ISSUE - New position (post only)  (35 rows)</t>
        </is>
      </c>
    </row>
    <row r="10">
      <c r="A10" s="9" t="inlineStr">
        <is>
          <t>unexplained_result_findetail_position.xlsx</t>
        </is>
      </c>
      <c r="B10" s="9" t="inlineStr">
        <is>
          <t>Drilldown</t>
        </is>
      </c>
      <c r="C10" s="9" t="inlineStr">
        <is>
          <t>Settlement</t>
        </is>
      </c>
      <c r="D10" s="9" t="inlineStr">
        <is>
          <t>new_post</t>
        </is>
      </c>
      <c r="E10" s="9" t="n">
        <v>4347266</v>
      </c>
      <c r="F10" s="9" t="n">
        <v/>
      </c>
      <c r="G10" s="9" t="inlineStr">
        <is>
          <t>PHYSICAL</t>
        </is>
      </c>
      <c r="H10" s="9" t="inlineStr">
        <is>
          <t>BUY</t>
        </is>
      </c>
      <c r="I10" s="9" t="inlineStr">
        <is>
          <t>Gas Transportation</t>
        </is>
      </c>
      <c r="J10" s="9" t="inlineStr">
        <is>
          <t>Tennessee Z4-200 Leg</t>
        </is>
      </c>
      <c r="K10" s="9" t="n">
        <v/>
      </c>
      <c r="L10" s="9" t="n">
        <v/>
      </c>
      <c r="M10" s="9" t="n">
        <v/>
      </c>
      <c r="N10" s="9" t="n">
        <v>0</v>
      </c>
      <c r="O10" s="9" t="n">
        <v>516492</v>
      </c>
      <c r="P10" s="10">
        <f>O10-N10</f>
        <v/>
      </c>
      <c r="Q10" s="9" t="inlineStr">
        <is>
          <t>true</t>
        </is>
      </c>
    </row>
    <row r="11">
      <c r="A11" s="9" t="inlineStr">
        <is>
          <t>unexplained_result_findetail_position.xlsx</t>
        </is>
      </c>
      <c r="B11" s="9" t="inlineStr">
        <is>
          <t>Drilldown</t>
        </is>
      </c>
      <c r="C11" s="9" t="inlineStr">
        <is>
          <t>Settlement</t>
        </is>
      </c>
      <c r="D11" s="9" t="inlineStr">
        <is>
          <t>new_post</t>
        </is>
      </c>
      <c r="E11" s="9" t="n">
        <v>4676738</v>
      </c>
      <c r="F11" s="9" t="inlineStr">
        <is>
          <t>2258482</t>
        </is>
      </c>
      <c r="G11" s="9" t="inlineStr">
        <is>
          <t>FINANCIAL</t>
        </is>
      </c>
      <c r="H11" s="9" t="inlineStr">
        <is>
          <t>SWAP</t>
        </is>
      </c>
      <c r="I11" s="9" t="inlineStr">
        <is>
          <t>Heating Degree Day</t>
        </is>
      </c>
      <c r="J11" s="9" t="inlineStr">
        <is>
          <t>Chicago OHare Airport</t>
        </is>
      </c>
      <c r="K11" s="9" t="n">
        <v/>
      </c>
      <c r="L11" s="9" t="n">
        <v/>
      </c>
      <c r="M11" s="9" t="n">
        <v/>
      </c>
      <c r="N11" s="9" t="n">
        <v>0</v>
      </c>
      <c r="O11" s="9" t="n">
        <v>1853822.99</v>
      </c>
      <c r="P11" s="10">
        <f>O11-N11</f>
        <v/>
      </c>
      <c r="Q11" s="9" t="inlineStr">
        <is>
          <t>true</t>
        </is>
      </c>
    </row>
    <row r="12">
      <c r="A12" s="9" t="inlineStr">
        <is>
          <t>unexplained_result_findetail_position.xlsx</t>
        </is>
      </c>
      <c r="B12" s="9" t="inlineStr">
        <is>
          <t>Drilldown</t>
        </is>
      </c>
      <c r="C12" s="9" t="inlineStr">
        <is>
          <t>Settlement</t>
        </is>
      </c>
      <c r="D12" s="9" t="inlineStr">
        <is>
          <t>new_post</t>
        </is>
      </c>
      <c r="E12" s="9" t="n">
        <v>4677600</v>
      </c>
      <c r="F12" s="9" t="inlineStr">
        <is>
          <t>2258847</t>
        </is>
      </c>
      <c r="G12" s="9" t="inlineStr">
        <is>
          <t>FINANCIAL</t>
        </is>
      </c>
      <c r="H12" s="9" t="inlineStr">
        <is>
          <t>SWAP</t>
        </is>
      </c>
      <c r="I12" s="9" t="inlineStr">
        <is>
          <t>Heating Degree Day</t>
        </is>
      </c>
      <c r="J12" s="9" t="inlineStr">
        <is>
          <t>Chicago OHare Airport</t>
        </is>
      </c>
      <c r="K12" s="9" t="n">
        <v/>
      </c>
      <c r="L12" s="9" t="n">
        <v/>
      </c>
      <c r="M12" s="9" t="n">
        <v/>
      </c>
      <c r="N12" s="9" t="n">
        <v>0</v>
      </c>
      <c r="O12" s="9" t="n">
        <v>1989517.25</v>
      </c>
      <c r="P12" s="10">
        <f>O12-N12</f>
        <v/>
      </c>
      <c r="Q12" s="9" t="inlineStr">
        <is>
          <t>true</t>
        </is>
      </c>
    </row>
    <row r="13">
      <c r="A13" s="9" t="inlineStr">
        <is>
          <t>unexplained_result_findetail_position.xlsx</t>
        </is>
      </c>
      <c r="B13" s="9" t="inlineStr">
        <is>
          <t>Drilldown</t>
        </is>
      </c>
      <c r="C13" s="9" t="inlineStr">
        <is>
          <t>Settlement</t>
        </is>
      </c>
      <c r="D13" s="9" t="inlineStr">
        <is>
          <t>new_post</t>
        </is>
      </c>
      <c r="E13" s="9" t="n">
        <v>4677607</v>
      </c>
      <c r="F13" s="9" t="inlineStr">
        <is>
          <t>2258851</t>
        </is>
      </c>
      <c r="G13" s="9" t="inlineStr">
        <is>
          <t>FINANCIAL</t>
        </is>
      </c>
      <c r="H13" s="9" t="inlineStr">
        <is>
          <t>SWAP</t>
        </is>
      </c>
      <c r="I13" s="9" t="inlineStr">
        <is>
          <t>Heating Degree Day</t>
        </is>
      </c>
      <c r="J13" s="9" t="inlineStr">
        <is>
          <t>Chicago OHare Airport</t>
        </is>
      </c>
      <c r="K13" s="9" t="n">
        <v/>
      </c>
      <c r="L13" s="9" t="n">
        <v/>
      </c>
      <c r="M13" s="9" t="n">
        <v/>
      </c>
      <c r="N13" s="9" t="n">
        <v>0</v>
      </c>
      <c r="O13" s="9" t="n">
        <v>1853822.99</v>
      </c>
      <c r="P13" s="10">
        <f>O13-N13</f>
        <v/>
      </c>
      <c r="Q13" s="9" t="inlineStr">
        <is>
          <t>true</t>
        </is>
      </c>
    </row>
    <row r="14">
      <c r="A14" s="9" t="inlineStr">
        <is>
          <t>unexplained_result_findetail_position.xlsx</t>
        </is>
      </c>
      <c r="B14" s="9" t="inlineStr">
        <is>
          <t>Drilldown</t>
        </is>
      </c>
      <c r="C14" s="9" t="inlineStr">
        <is>
          <t>Settlement</t>
        </is>
      </c>
      <c r="D14" s="9" t="inlineStr">
        <is>
          <t>new_post</t>
        </is>
      </c>
      <c r="E14" s="9" t="n">
        <v>4758127</v>
      </c>
      <c r="F14" s="9" t="inlineStr">
        <is>
          <t>2285953</t>
        </is>
      </c>
      <c r="G14" s="9" t="inlineStr">
        <is>
          <t>FINANCIAL</t>
        </is>
      </c>
      <c r="H14" s="9" t="inlineStr">
        <is>
          <t>BUY</t>
        </is>
      </c>
      <c r="I14" s="9" t="inlineStr">
        <is>
          <t>Heating Degree Day</t>
        </is>
      </c>
      <c r="J14" s="9" t="inlineStr">
        <is>
          <t>DFW Airport</t>
        </is>
      </c>
      <c r="K14" s="9" t="n">
        <v/>
      </c>
      <c r="L14" s="9" t="n">
        <v/>
      </c>
      <c r="M14" s="9" t="n">
        <v/>
      </c>
      <c r="N14" s="9" t="n">
        <v>0</v>
      </c>
      <c r="O14" s="9" t="n">
        <v>0</v>
      </c>
      <c r="P14" s="10">
        <f>O14-N14</f>
        <v/>
      </c>
      <c r="Q14" s="9" t="inlineStr">
        <is>
          <t>true</t>
        </is>
      </c>
    </row>
    <row r="15">
      <c r="A15" s="9" t="inlineStr">
        <is>
          <t>unexplained_result_findetail_position.xlsx</t>
        </is>
      </c>
      <c r="B15" s="9" t="inlineStr">
        <is>
          <t>Drilldown</t>
        </is>
      </c>
      <c r="C15" s="9" t="inlineStr">
        <is>
          <t>Settlement</t>
        </is>
      </c>
      <c r="D15" s="9" t="inlineStr">
        <is>
          <t>new_post</t>
        </is>
      </c>
      <c r="E15" s="9" t="inlineStr">
        <is>
          <t>4758128</t>
        </is>
      </c>
      <c r="F15" s="9" t="inlineStr">
        <is>
          <t>2285953</t>
        </is>
      </c>
      <c r="G15" s="9" t="inlineStr">
        <is>
          <t>FINANCIAL</t>
        </is>
      </c>
      <c r="H15" s="9" t="inlineStr">
        <is>
          <t>BUY</t>
        </is>
      </c>
      <c r="I15" s="9" t="inlineStr">
        <is>
          <t>Heating Degree Day</t>
        </is>
      </c>
      <c r="J15" s="9" t="inlineStr">
        <is>
          <t xml:space="preserve">Houston - Bush Intercontinental </t>
        </is>
      </c>
      <c r="K15" s="9" t="n">
        <v/>
      </c>
      <c r="L15" s="9" t="n">
        <v/>
      </c>
      <c r="M15" s="9" t="n">
        <v/>
      </c>
      <c r="N15" s="9" t="n">
        <v>0</v>
      </c>
      <c r="O15" s="9" t="n">
        <v>0</v>
      </c>
      <c r="P15" s="10">
        <f>O15-N15</f>
        <v/>
      </c>
      <c r="Q15" s="9" t="inlineStr">
        <is>
          <t>true</t>
        </is>
      </c>
    </row>
    <row r="16">
      <c r="A16" s="9" t="inlineStr">
        <is>
          <t>unexplained_result_findetail_position.xlsx</t>
        </is>
      </c>
      <c r="B16" s="9" t="inlineStr">
        <is>
          <t>Drilldown</t>
        </is>
      </c>
      <c r="C16" s="9" t="inlineStr">
        <is>
          <t>Settlement</t>
        </is>
      </c>
      <c r="D16" s="9" t="inlineStr">
        <is>
          <t>new_post</t>
        </is>
      </c>
      <c r="E16" s="9" t="inlineStr">
        <is>
          <t>4760073</t>
        </is>
      </c>
      <c r="F16" s="9" t="inlineStr">
        <is>
          <t>2286035</t>
        </is>
      </c>
      <c r="G16" s="9" t="inlineStr">
        <is>
          <t>FINANCIAL</t>
        </is>
      </c>
      <c r="H16" s="9" t="inlineStr">
        <is>
          <t>SELL</t>
        </is>
      </c>
      <c r="I16" s="9" t="inlineStr">
        <is>
          <t>Heating Degree Day</t>
        </is>
      </c>
      <c r="J16" s="9" t="inlineStr">
        <is>
          <t>DFW Airport</t>
        </is>
      </c>
      <c r="K16" s="9" t="n">
        <v/>
      </c>
      <c r="L16" s="9" t="n">
        <v/>
      </c>
      <c r="M16" s="9" t="n">
        <v/>
      </c>
      <c r="N16" s="9" t="n">
        <v>0</v>
      </c>
      <c r="O16" s="9" t="n">
        <v>0</v>
      </c>
      <c r="P16" s="10">
        <f>O16-N16</f>
        <v/>
      </c>
      <c r="Q16" s="9" t="inlineStr">
        <is>
          <t>true</t>
        </is>
      </c>
    </row>
    <row r="17">
      <c r="A17" s="9" t="inlineStr">
        <is>
          <t>unexplained_result_findetail_position.xlsx</t>
        </is>
      </c>
      <c r="B17" s="9" t="inlineStr">
        <is>
          <t>Drilldown</t>
        </is>
      </c>
      <c r="C17" s="9" t="inlineStr">
        <is>
          <t>Settlement</t>
        </is>
      </c>
      <c r="D17" s="9" t="inlineStr">
        <is>
          <t>new_post</t>
        </is>
      </c>
      <c r="E17" s="9" t="inlineStr">
        <is>
          <t>4760074</t>
        </is>
      </c>
      <c r="F17" s="9" t="inlineStr">
        <is>
          <t>2286035</t>
        </is>
      </c>
      <c r="G17" s="9" t="inlineStr">
        <is>
          <t>FINANCIAL</t>
        </is>
      </c>
      <c r="H17" s="9" t="inlineStr">
        <is>
          <t>SELL</t>
        </is>
      </c>
      <c r="I17" s="9" t="inlineStr">
        <is>
          <t>Heating Degree Day</t>
        </is>
      </c>
      <c r="J17" s="9" t="inlineStr">
        <is>
          <t xml:space="preserve">Houston - Bush Intercontinental </t>
        </is>
      </c>
      <c r="K17" s="9" t="n">
        <v/>
      </c>
      <c r="L17" s="9" t="n">
        <v/>
      </c>
      <c r="M17" s="9" t="n">
        <v/>
      </c>
      <c r="N17" s="9" t="n">
        <v>0</v>
      </c>
      <c r="O17" s="9" t="n">
        <v>0</v>
      </c>
      <c r="P17" s="10">
        <f>O17-N17</f>
        <v/>
      </c>
      <c r="Q17" s="9" t="inlineStr">
        <is>
          <t>true</t>
        </is>
      </c>
    </row>
    <row r="18">
      <c r="A18" s="9" t="inlineStr">
        <is>
          <t>unexplained_result_findetail_position.xlsx</t>
        </is>
      </c>
      <c r="B18" s="9" t="inlineStr">
        <is>
          <t>Drilldown</t>
        </is>
      </c>
      <c r="C18" s="9" t="inlineStr">
        <is>
          <t>Settlement</t>
        </is>
      </c>
      <c r="D18" s="9" t="inlineStr">
        <is>
          <t>new_post</t>
        </is>
      </c>
      <c r="E18" s="9" t="inlineStr">
        <is>
          <t>4760096</t>
        </is>
      </c>
      <c r="F18" s="9" t="inlineStr">
        <is>
          <t>2286057</t>
        </is>
      </c>
      <c r="G18" s="9" t="inlineStr">
        <is>
          <t>FINANCIAL</t>
        </is>
      </c>
      <c r="H18" s="9" t="inlineStr">
        <is>
          <t>BUY</t>
        </is>
      </c>
      <c r="I18" s="9" t="inlineStr">
        <is>
          <t>Heating Degree Day</t>
        </is>
      </c>
      <c r="J18" s="9" t="inlineStr">
        <is>
          <t xml:space="preserve">Houston - Bush Intercontinental </t>
        </is>
      </c>
      <c r="K18" s="9" t="n">
        <v/>
      </c>
      <c r="L18" s="9" t="n">
        <v/>
      </c>
      <c r="M18" s="9" t="n">
        <v/>
      </c>
      <c r="N18" s="9" t="n">
        <v>0</v>
      </c>
      <c r="O18" s="9" t="n">
        <v>0</v>
      </c>
      <c r="P18" s="10">
        <f>O18-N18</f>
        <v/>
      </c>
      <c r="Q18" s="9" t="inlineStr">
        <is>
          <t>true</t>
        </is>
      </c>
    </row>
    <row r="19">
      <c r="A19" s="9" t="inlineStr">
        <is>
          <t>unexplained_result_findetail_position.xlsx</t>
        </is>
      </c>
      <c r="B19" s="9" t="inlineStr">
        <is>
          <t>Drilldown</t>
        </is>
      </c>
      <c r="C19" s="9" t="inlineStr">
        <is>
          <t>Settlement</t>
        </is>
      </c>
      <c r="D19" s="9" t="inlineStr">
        <is>
          <t>new_post</t>
        </is>
      </c>
      <c r="E19" s="9" t="inlineStr">
        <is>
          <t>4760101</t>
        </is>
      </c>
      <c r="F19" s="9" t="inlineStr">
        <is>
          <t>2286057</t>
        </is>
      </c>
      <c r="G19" s="9" t="inlineStr">
        <is>
          <t>FINANCIAL</t>
        </is>
      </c>
      <c r="H19" s="9" t="inlineStr">
        <is>
          <t>BUY</t>
        </is>
      </c>
      <c r="I19" s="9" t="inlineStr">
        <is>
          <t>Heating Degree Day</t>
        </is>
      </c>
      <c r="J19" s="9" t="inlineStr">
        <is>
          <t>DFW Airport</t>
        </is>
      </c>
      <c r="K19" s="9" t="n">
        <v/>
      </c>
      <c r="L19" s="9" t="n">
        <v/>
      </c>
      <c r="M19" s="9" t="n">
        <v/>
      </c>
      <c r="N19" s="9" t="n">
        <v>0</v>
      </c>
      <c r="O19" s="9" t="n">
        <v>0</v>
      </c>
      <c r="P19" s="10">
        <f>O19-N19</f>
        <v/>
      </c>
      <c r="Q19" s="9" t="inlineStr">
        <is>
          <t>true</t>
        </is>
      </c>
    </row>
    <row r="20">
      <c r="A20" s="9" t="inlineStr">
        <is>
          <t>unexplained_result_findetail_position.xlsx</t>
        </is>
      </c>
      <c r="B20" s="9" t="inlineStr">
        <is>
          <t>Drilldown</t>
        </is>
      </c>
      <c r="C20" s="9" t="inlineStr">
        <is>
          <t>Settlement</t>
        </is>
      </c>
      <c r="D20" s="9" t="inlineStr">
        <is>
          <t>new_post</t>
        </is>
      </c>
      <c r="E20" s="9" t="inlineStr">
        <is>
          <t>4773053</t>
        </is>
      </c>
      <c r="F20" s="9" t="inlineStr">
        <is>
          <t>2290356</t>
        </is>
      </c>
      <c r="G20" s="9" t="inlineStr">
        <is>
          <t>FINANCIAL</t>
        </is>
      </c>
      <c r="H20" s="9" t="inlineStr">
        <is>
          <t>SWAP</t>
        </is>
      </c>
      <c r="I20" s="9" t="inlineStr">
        <is>
          <t>Heating Degree Day</t>
        </is>
      </c>
      <c r="J20" s="9" t="inlineStr">
        <is>
          <t>PHL Airport</t>
        </is>
      </c>
      <c r="K20" s="9" t="n">
        <v/>
      </c>
      <c r="L20" s="9" t="n">
        <v/>
      </c>
      <c r="M20" s="9" t="n">
        <v/>
      </c>
      <c r="N20" s="9" t="n">
        <v>0</v>
      </c>
      <c r="O20" s="9" t="n">
        <v>4355186.96</v>
      </c>
      <c r="P20" s="10">
        <f>O20-N20</f>
        <v/>
      </c>
      <c r="Q20" s="9" t="inlineStr">
        <is>
          <t>true</t>
        </is>
      </c>
    </row>
    <row r="21">
      <c r="A21" s="9" t="inlineStr">
        <is>
          <t>unexplained_result_findetail_position.xlsx</t>
        </is>
      </c>
      <c r="B21" s="9" t="inlineStr">
        <is>
          <t>Drilldown</t>
        </is>
      </c>
      <c r="C21" s="9" t="inlineStr">
        <is>
          <t>Settlement</t>
        </is>
      </c>
      <c r="D21" s="9" t="inlineStr">
        <is>
          <t>new_post</t>
        </is>
      </c>
      <c r="E21" s="9" t="inlineStr">
        <is>
          <t>4773058</t>
        </is>
      </c>
      <c r="F21" s="9" t="inlineStr">
        <is>
          <t>2290358</t>
        </is>
      </c>
      <c r="G21" s="9" t="inlineStr">
        <is>
          <t>FINANCIAL</t>
        </is>
      </c>
      <c r="H21" s="9" t="inlineStr">
        <is>
          <t>SWAP</t>
        </is>
      </c>
      <c r="I21" s="9" t="inlineStr">
        <is>
          <t>Heating Degree Day</t>
        </is>
      </c>
      <c r="J21" s="9" t="inlineStr">
        <is>
          <t>PHL Airport</t>
        </is>
      </c>
      <c r="K21" s="9" t="n">
        <v/>
      </c>
      <c r="L21" s="9" t="n">
        <v/>
      </c>
      <c r="M21" s="9" t="n">
        <v/>
      </c>
      <c r="N21" s="9" t="n">
        <v>0</v>
      </c>
      <c r="O21" s="9" t="n">
        <v>4355186.96</v>
      </c>
      <c r="P21" s="10">
        <f>O21-N21</f>
        <v/>
      </c>
      <c r="Q21" s="9" t="inlineStr">
        <is>
          <t>true</t>
        </is>
      </c>
    </row>
    <row r="22">
      <c r="A22" s="9" t="inlineStr">
        <is>
          <t>unexplained_result_findetail_position.xlsx</t>
        </is>
      </c>
      <c r="B22" s="9" t="inlineStr">
        <is>
          <t>Drilldown</t>
        </is>
      </c>
      <c r="C22" s="9" t="inlineStr">
        <is>
          <t>Settlement</t>
        </is>
      </c>
      <c r="D22" s="9" t="inlineStr">
        <is>
          <t>new_post</t>
        </is>
      </c>
      <c r="E22" s="9" t="inlineStr">
        <is>
          <t>4773171</t>
        </is>
      </c>
      <c r="F22" s="9" t="inlineStr">
        <is>
          <t>2290394</t>
        </is>
      </c>
      <c r="G22" s="9" t="inlineStr">
        <is>
          <t>FINANCIAL</t>
        </is>
      </c>
      <c r="H22" s="9" t="inlineStr">
        <is>
          <t>SWAP</t>
        </is>
      </c>
      <c r="I22" s="9" t="inlineStr">
        <is>
          <t>Heating Degree Day</t>
        </is>
      </c>
      <c r="J22" s="9" t="inlineStr">
        <is>
          <t>BOS Airport</t>
        </is>
      </c>
      <c r="K22" s="9" t="n">
        <v/>
      </c>
      <c r="L22" s="9" t="n">
        <v/>
      </c>
      <c r="M22" s="9" t="n">
        <v/>
      </c>
      <c r="N22" s="9" t="n">
        <v>0</v>
      </c>
      <c r="O22" s="9" t="n">
        <v>998749.63</v>
      </c>
      <c r="P22" s="10">
        <f>O22-N22</f>
        <v/>
      </c>
      <c r="Q22" s="9" t="inlineStr">
        <is>
          <t>true</t>
        </is>
      </c>
    </row>
    <row r="23">
      <c r="A23" s="9" t="inlineStr">
        <is>
          <t>unexplained_result_findetail_position.xlsx</t>
        </is>
      </c>
      <c r="B23" s="9" t="inlineStr">
        <is>
          <t>Drilldown</t>
        </is>
      </c>
      <c r="C23" s="9" t="inlineStr">
        <is>
          <t>Settlement</t>
        </is>
      </c>
      <c r="D23" s="9" t="inlineStr">
        <is>
          <t>new_post</t>
        </is>
      </c>
      <c r="E23" s="9" t="inlineStr">
        <is>
          <t>4773174</t>
        </is>
      </c>
      <c r="F23" s="9" t="inlineStr">
        <is>
          <t>2290395</t>
        </is>
      </c>
      <c r="G23" s="9" t="inlineStr">
        <is>
          <t>FINANCIAL</t>
        </is>
      </c>
      <c r="H23" s="9" t="inlineStr">
        <is>
          <t>SWAP</t>
        </is>
      </c>
      <c r="I23" s="9" t="inlineStr">
        <is>
          <t>Heating Degree Day</t>
        </is>
      </c>
      <c r="J23" s="9" t="inlineStr">
        <is>
          <t>BOS Airport</t>
        </is>
      </c>
      <c r="K23" s="9" t="n">
        <v/>
      </c>
      <c r="L23" s="9" t="n">
        <v/>
      </c>
      <c r="M23" s="9" t="n">
        <v/>
      </c>
      <c r="N23" s="9" t="n">
        <v>0</v>
      </c>
      <c r="O23" s="9" t="n">
        <v>3994998.53</v>
      </c>
      <c r="P23" s="10">
        <f>O23-N23</f>
        <v/>
      </c>
      <c r="Q23" s="9" t="inlineStr">
        <is>
          <t>true</t>
        </is>
      </c>
    </row>
    <row r="24">
      <c r="A24" s="9" t="inlineStr">
        <is>
          <t>unexplained_result_findetail_position.xlsx</t>
        </is>
      </c>
      <c r="B24" s="9" t="inlineStr">
        <is>
          <t>Drilldown</t>
        </is>
      </c>
      <c r="C24" s="9" t="inlineStr">
        <is>
          <t>Settlement</t>
        </is>
      </c>
      <c r="D24" s="9" t="inlineStr">
        <is>
          <t>new_post</t>
        </is>
      </c>
      <c r="E24" s="9" t="inlineStr">
        <is>
          <t>4773796</t>
        </is>
      </c>
      <c r="F24" s="9" t="inlineStr">
        <is>
          <t>2290712</t>
        </is>
      </c>
      <c r="G24" s="9" t="inlineStr">
        <is>
          <t>FINANCIAL</t>
        </is>
      </c>
      <c r="H24" s="9" t="inlineStr">
        <is>
          <t>SWAP</t>
        </is>
      </c>
      <c r="I24" s="9" t="inlineStr">
        <is>
          <t>Heating Degree Day</t>
        </is>
      </c>
      <c r="J24" s="9" t="inlineStr">
        <is>
          <t>PHL Airport</t>
        </is>
      </c>
      <c r="K24" s="9" t="n">
        <v/>
      </c>
      <c r="L24" s="9" t="n">
        <v/>
      </c>
      <c r="M24" s="9" t="n">
        <v/>
      </c>
      <c r="N24" s="9" t="n">
        <v>0</v>
      </c>
      <c r="O24" s="9" t="n">
        <v>3641794.36</v>
      </c>
      <c r="P24" s="10">
        <f>O24-N24</f>
        <v/>
      </c>
      <c r="Q24" s="9" t="inlineStr">
        <is>
          <t>true</t>
        </is>
      </c>
    </row>
    <row r="25">
      <c r="A25" s="9" t="inlineStr">
        <is>
          <t>unexplained_result_findetail_position.xlsx</t>
        </is>
      </c>
      <c r="B25" s="9" t="inlineStr">
        <is>
          <t>Drilldown</t>
        </is>
      </c>
      <c r="C25" s="9" t="inlineStr">
        <is>
          <t>Settlement</t>
        </is>
      </c>
      <c r="D25" s="9" t="inlineStr">
        <is>
          <t>new_post</t>
        </is>
      </c>
      <c r="E25" s="9" t="inlineStr">
        <is>
          <t>4773836</t>
        </is>
      </c>
      <c r="F25" s="9" t="inlineStr">
        <is>
          <t>2290755</t>
        </is>
      </c>
      <c r="G25" s="9" t="inlineStr">
        <is>
          <t>FINANCIAL</t>
        </is>
      </c>
      <c r="H25" s="9" t="inlineStr">
        <is>
          <t>SWAP</t>
        </is>
      </c>
      <c r="I25" s="9" t="inlineStr">
        <is>
          <t>Heating Degree Day</t>
        </is>
      </c>
      <c r="J25" s="9" t="inlineStr">
        <is>
          <t>PHL Airport</t>
        </is>
      </c>
      <c r="K25" s="9" t="n">
        <v/>
      </c>
      <c r="L25" s="9" t="n">
        <v/>
      </c>
      <c r="M25" s="9" t="n">
        <v/>
      </c>
      <c r="N25" s="9" t="n">
        <v>0</v>
      </c>
      <c r="O25" s="9" t="n">
        <v>4355186.96</v>
      </c>
      <c r="P25" s="10">
        <f>O25-N25</f>
        <v/>
      </c>
      <c r="Q25" s="9" t="inlineStr">
        <is>
          <t>true</t>
        </is>
      </c>
    </row>
    <row r="26">
      <c r="A26" s="9" t="inlineStr">
        <is>
          <t>unexplained_result_findetail_position.xlsx</t>
        </is>
      </c>
      <c r="B26" s="9" t="inlineStr">
        <is>
          <t>Drilldown</t>
        </is>
      </c>
      <c r="C26" s="9" t="inlineStr">
        <is>
          <t>Settlement</t>
        </is>
      </c>
      <c r="D26" s="9" t="inlineStr">
        <is>
          <t>new_post</t>
        </is>
      </c>
      <c r="E26" s="9" t="inlineStr">
        <is>
          <t>4773891</t>
        </is>
      </c>
      <c r="F26" s="9" t="inlineStr">
        <is>
          <t>2290805</t>
        </is>
      </c>
      <c r="G26" s="9" t="inlineStr">
        <is>
          <t>FINANCIAL</t>
        </is>
      </c>
      <c r="H26" s="9" t="inlineStr">
        <is>
          <t>SWAP</t>
        </is>
      </c>
      <c r="I26" s="9" t="inlineStr">
        <is>
          <t>Heating Degree Day</t>
        </is>
      </c>
      <c r="J26" s="9" t="inlineStr">
        <is>
          <t>BOS Airport</t>
        </is>
      </c>
      <c r="K26" s="9" t="n">
        <v/>
      </c>
      <c r="L26" s="9" t="n">
        <v/>
      </c>
      <c r="M26" s="9" t="n">
        <v/>
      </c>
      <c r="N26" s="9" t="n">
        <v>0</v>
      </c>
      <c r="O26" s="9" t="n">
        <v>3472176.54</v>
      </c>
      <c r="P26" s="10">
        <f>O26-N26</f>
        <v/>
      </c>
      <c r="Q26" s="9" t="inlineStr">
        <is>
          <t>true</t>
        </is>
      </c>
    </row>
    <row r="27">
      <c r="A27" s="9" t="inlineStr">
        <is>
          <t>unexplained_result_findetail_position.xlsx</t>
        </is>
      </c>
      <c r="B27" s="9" t="inlineStr">
        <is>
          <t>Drilldown</t>
        </is>
      </c>
      <c r="C27" s="9" t="inlineStr">
        <is>
          <t>Settlement</t>
        </is>
      </c>
      <c r="D27" s="9" t="inlineStr">
        <is>
          <t>new_post</t>
        </is>
      </c>
      <c r="E27" s="9" t="inlineStr">
        <is>
          <t>4773927</t>
        </is>
      </c>
      <c r="F27" s="9" t="inlineStr">
        <is>
          <t>2290843</t>
        </is>
      </c>
      <c r="G27" s="9" t="inlineStr">
        <is>
          <t>FINANCIAL</t>
        </is>
      </c>
      <c r="H27" s="9" t="inlineStr">
        <is>
          <t>SWAP</t>
        </is>
      </c>
      <c r="I27" s="9" t="inlineStr">
        <is>
          <t>Heating Degree Day</t>
        </is>
      </c>
      <c r="J27" s="9" t="inlineStr">
        <is>
          <t>BOS Airport</t>
        </is>
      </c>
      <c r="K27" s="9" t="n">
        <v/>
      </c>
      <c r="L27" s="9" t="n">
        <v/>
      </c>
      <c r="M27" s="9" t="n">
        <v/>
      </c>
      <c r="N27" s="9" t="n">
        <v>0</v>
      </c>
      <c r="O27" s="9" t="n">
        <v>3994998.53</v>
      </c>
      <c r="P27" s="10">
        <f>O27-N27</f>
        <v/>
      </c>
      <c r="Q27" s="9" t="inlineStr">
        <is>
          <t>true</t>
        </is>
      </c>
    </row>
    <row r="28">
      <c r="A28" s="9" t="inlineStr">
        <is>
          <t>unexplained_result_findetail_position.xlsx</t>
        </is>
      </c>
      <c r="B28" s="9" t="inlineStr">
        <is>
          <t>Drilldown</t>
        </is>
      </c>
      <c r="C28" s="9" t="inlineStr">
        <is>
          <t>Settlement</t>
        </is>
      </c>
      <c r="D28" s="9" t="inlineStr">
        <is>
          <t>new_post</t>
        </is>
      </c>
      <c r="E28" s="9" t="inlineStr">
        <is>
          <t>4773983</t>
        </is>
      </c>
      <c r="F28" s="9" t="inlineStr">
        <is>
          <t>2290895</t>
        </is>
      </c>
      <c r="G28" s="9" t="inlineStr">
        <is>
          <t>FINANCIAL</t>
        </is>
      </c>
      <c r="H28" s="9" t="inlineStr">
        <is>
          <t>SWAP</t>
        </is>
      </c>
      <c r="I28" s="9" t="inlineStr">
        <is>
          <t>Heating Degree Day</t>
        </is>
      </c>
      <c r="J28" s="9" t="inlineStr">
        <is>
          <t>PHL Airport</t>
        </is>
      </c>
      <c r="K28" s="9" t="n">
        <v/>
      </c>
      <c r="L28" s="9" t="n">
        <v/>
      </c>
      <c r="M28" s="9" t="n">
        <v/>
      </c>
      <c r="N28" s="9" t="n">
        <v>0</v>
      </c>
      <c r="O28" s="9" t="n">
        <v>3641794.36</v>
      </c>
      <c r="P28" s="10">
        <f>O28-N28</f>
        <v/>
      </c>
      <c r="Q28" s="9" t="inlineStr">
        <is>
          <t>true</t>
        </is>
      </c>
    </row>
    <row r="29">
      <c r="A29" s="9" t="inlineStr">
        <is>
          <t>unexplained_result_findetail_position.xlsx</t>
        </is>
      </c>
      <c r="B29" s="9" t="inlineStr">
        <is>
          <t>Drilldown</t>
        </is>
      </c>
      <c r="C29" s="9" t="inlineStr">
        <is>
          <t>Settlement</t>
        </is>
      </c>
      <c r="D29" s="9" t="inlineStr">
        <is>
          <t>new_post</t>
        </is>
      </c>
      <c r="E29" s="9" t="inlineStr">
        <is>
          <t>4774021</t>
        </is>
      </c>
      <c r="F29" s="9" t="inlineStr">
        <is>
          <t>2290934</t>
        </is>
      </c>
      <c r="G29" s="9" t="inlineStr">
        <is>
          <t>FINANCIAL</t>
        </is>
      </c>
      <c r="H29" s="9" t="inlineStr">
        <is>
          <t>SWAP</t>
        </is>
      </c>
      <c r="I29" s="9" t="inlineStr">
        <is>
          <t>Heating Degree Day</t>
        </is>
      </c>
      <c r="J29" s="9" t="inlineStr">
        <is>
          <t>PHL Airport</t>
        </is>
      </c>
      <c r="K29" s="9" t="n">
        <v/>
      </c>
      <c r="L29" s="9" t="n">
        <v/>
      </c>
      <c r="M29" s="9" t="n">
        <v/>
      </c>
      <c r="N29" s="9" t="n">
        <v>0</v>
      </c>
      <c r="O29" s="9" t="n">
        <v>4355186.96</v>
      </c>
      <c r="P29" s="10">
        <f>O29-N29</f>
        <v/>
      </c>
      <c r="Q29" s="9" t="inlineStr">
        <is>
          <t>true</t>
        </is>
      </c>
    </row>
    <row r="30">
      <c r="A30" s="9" t="inlineStr">
        <is>
          <t>unexplained_result_findetail_position.xlsx</t>
        </is>
      </c>
      <c r="B30" s="9" t="inlineStr">
        <is>
          <t>Drilldown</t>
        </is>
      </c>
      <c r="C30" s="9" t="inlineStr">
        <is>
          <t>Settlement</t>
        </is>
      </c>
      <c r="D30" s="9" t="inlineStr">
        <is>
          <t>new_post</t>
        </is>
      </c>
      <c r="E30" s="9" t="inlineStr">
        <is>
          <t>4776904</t>
        </is>
      </c>
      <c r="F30" s="9" t="inlineStr">
        <is>
          <t>2291827</t>
        </is>
      </c>
      <c r="G30" s="9" t="inlineStr">
        <is>
          <t>FINANCIAL</t>
        </is>
      </c>
      <c r="H30" s="9" t="inlineStr">
        <is>
          <t>SWAP</t>
        </is>
      </c>
      <c r="I30" s="9" t="inlineStr">
        <is>
          <t>Heating Degree Day</t>
        </is>
      </c>
      <c r="J30" s="9" t="inlineStr">
        <is>
          <t>Cincinatti Airport</t>
        </is>
      </c>
      <c r="K30" s="9" t="n">
        <v/>
      </c>
      <c r="L30" s="9" t="n">
        <v/>
      </c>
      <c r="M30" s="9" t="n">
        <v/>
      </c>
      <c r="N30" s="9" t="n">
        <v>0</v>
      </c>
      <c r="O30" s="9" t="n">
        <v>4295321.84</v>
      </c>
      <c r="P30" s="10">
        <f>O30-N30</f>
        <v/>
      </c>
      <c r="Q30" s="9" t="inlineStr">
        <is>
          <t>true</t>
        </is>
      </c>
    </row>
    <row r="31">
      <c r="A31" s="9" t="inlineStr">
        <is>
          <t>unexplained_result_findetail_position.xlsx</t>
        </is>
      </c>
      <c r="B31" s="9" t="inlineStr">
        <is>
          <t>Drilldown</t>
        </is>
      </c>
      <c r="C31" s="9" t="inlineStr">
        <is>
          <t>Settlement</t>
        </is>
      </c>
      <c r="D31" s="9" t="inlineStr">
        <is>
          <t>new_post</t>
        </is>
      </c>
      <c r="E31" s="9" t="inlineStr">
        <is>
          <t>4776914</t>
        </is>
      </c>
      <c r="F31" s="9" t="inlineStr">
        <is>
          <t>2291832</t>
        </is>
      </c>
      <c r="G31" s="9" t="inlineStr">
        <is>
          <t>FINANCIAL</t>
        </is>
      </c>
      <c r="H31" s="9" t="inlineStr">
        <is>
          <t>SWAP</t>
        </is>
      </c>
      <c r="I31" s="9" t="inlineStr">
        <is>
          <t>Heating Degree Day</t>
        </is>
      </c>
      <c r="J31" s="9" t="inlineStr">
        <is>
          <t>Cincinatti Airport</t>
        </is>
      </c>
      <c r="K31" s="9" t="n">
        <v/>
      </c>
      <c r="L31" s="9" t="n">
        <v/>
      </c>
      <c r="M31" s="9" t="n">
        <v/>
      </c>
      <c r="N31" s="9" t="n">
        <v>0</v>
      </c>
      <c r="O31" s="9" t="n">
        <v>2147660.92</v>
      </c>
      <c r="P31" s="10">
        <f>O31-N31</f>
        <v/>
      </c>
      <c r="Q31" s="9" t="inlineStr">
        <is>
          <t>true</t>
        </is>
      </c>
    </row>
    <row r="32">
      <c r="A32" s="9" t="inlineStr">
        <is>
          <t>unexplained_result_findetail_position.xlsx</t>
        </is>
      </c>
      <c r="B32" s="9" t="inlineStr">
        <is>
          <t>Drilldown</t>
        </is>
      </c>
      <c r="C32" s="9" t="inlineStr">
        <is>
          <t>Settlement</t>
        </is>
      </c>
      <c r="D32" s="9" t="inlineStr">
        <is>
          <t>new_post</t>
        </is>
      </c>
      <c r="E32" s="9" t="inlineStr">
        <is>
          <t>4776920</t>
        </is>
      </c>
      <c r="F32" s="9" t="inlineStr">
        <is>
          <t>2291836</t>
        </is>
      </c>
      <c r="G32" s="9" t="inlineStr">
        <is>
          <t>FINANCIAL</t>
        </is>
      </c>
      <c r="H32" s="9" t="inlineStr">
        <is>
          <t>SWAP</t>
        </is>
      </c>
      <c r="I32" s="9" t="inlineStr">
        <is>
          <t>Heating Degree Day</t>
        </is>
      </c>
      <c r="J32" s="9" t="inlineStr">
        <is>
          <t>Cincinatti Airport</t>
        </is>
      </c>
      <c r="K32" s="9" t="n">
        <v/>
      </c>
      <c r="L32" s="9" t="n">
        <v/>
      </c>
      <c r="M32" s="9" t="n">
        <v/>
      </c>
      <c r="N32" s="9" t="n">
        <v>0</v>
      </c>
      <c r="O32" s="9" t="n">
        <v>2147660.92</v>
      </c>
      <c r="P32" s="10">
        <f>O32-N32</f>
        <v/>
      </c>
      <c r="Q32" s="9" t="inlineStr">
        <is>
          <t>true</t>
        </is>
      </c>
    </row>
    <row r="33">
      <c r="A33" s="9" t="inlineStr">
        <is>
          <t>unexplained_result_findetail_position.xlsx</t>
        </is>
      </c>
      <c r="B33" s="9" t="inlineStr">
        <is>
          <t>Drilldown</t>
        </is>
      </c>
      <c r="C33" s="9" t="inlineStr">
        <is>
          <t>Settlement</t>
        </is>
      </c>
      <c r="D33" s="9" t="inlineStr">
        <is>
          <t>new_post</t>
        </is>
      </c>
      <c r="E33" s="9" t="inlineStr">
        <is>
          <t>4778254</t>
        </is>
      </c>
      <c r="F33" s="9" t="inlineStr">
        <is>
          <t>2292072</t>
        </is>
      </c>
      <c r="G33" s="9" t="inlineStr">
        <is>
          <t>FINANCIAL</t>
        </is>
      </c>
      <c r="H33" s="9" t="inlineStr">
        <is>
          <t>SWAP</t>
        </is>
      </c>
      <c r="I33" s="9" t="inlineStr">
        <is>
          <t>Heating Degree Day</t>
        </is>
      </c>
      <c r="J33" s="9" t="inlineStr">
        <is>
          <t>Cincinatti Airport</t>
        </is>
      </c>
      <c r="K33" s="9" t="n">
        <v/>
      </c>
      <c r="L33" s="9" t="n">
        <v/>
      </c>
      <c r="M33" s="9" t="n">
        <v/>
      </c>
      <c r="N33" s="9" t="n">
        <v>0</v>
      </c>
      <c r="O33" s="9" t="n">
        <v>1920672.37</v>
      </c>
      <c r="P33" s="10">
        <f>O33-N33</f>
        <v/>
      </c>
      <c r="Q33" s="9" t="inlineStr">
        <is>
          <t>true</t>
        </is>
      </c>
    </row>
    <row r="34">
      <c r="A34" s="9" t="inlineStr">
        <is>
          <t>unexplained_result_findetail_position.xlsx</t>
        </is>
      </c>
      <c r="B34" s="9" t="inlineStr">
        <is>
          <t>Drilldown</t>
        </is>
      </c>
      <c r="C34" s="9" t="inlineStr">
        <is>
          <t>Settlement</t>
        </is>
      </c>
      <c r="D34" s="9" t="inlineStr">
        <is>
          <t>new_post</t>
        </is>
      </c>
      <c r="E34" s="9" t="inlineStr">
        <is>
          <t>4778271</t>
        </is>
      </c>
      <c r="F34" s="9" t="inlineStr">
        <is>
          <t>2292081</t>
        </is>
      </c>
      <c r="G34" s="9" t="inlineStr">
        <is>
          <t>FINANCIAL</t>
        </is>
      </c>
      <c r="H34" s="9" t="inlineStr">
        <is>
          <t>SWAP</t>
        </is>
      </c>
      <c r="I34" s="9" t="inlineStr">
        <is>
          <t>Heating Degree Day</t>
        </is>
      </c>
      <c r="J34" s="9" t="inlineStr">
        <is>
          <t>Cincinatti Airport</t>
        </is>
      </c>
      <c r="K34" s="9" t="n">
        <v/>
      </c>
      <c r="L34" s="9" t="n">
        <v/>
      </c>
      <c r="M34" s="9" t="n">
        <v/>
      </c>
      <c r="N34" s="9" t="n">
        <v>0</v>
      </c>
      <c r="O34" s="9" t="n">
        <v>3841344.74</v>
      </c>
      <c r="P34" s="10">
        <f>O34-N34</f>
        <v/>
      </c>
      <c r="Q34" s="9" t="inlineStr">
        <is>
          <t>true</t>
        </is>
      </c>
    </row>
    <row r="35">
      <c r="A35" s="9" t="inlineStr">
        <is>
          <t>unexplained_result_findetail_position.xlsx</t>
        </is>
      </c>
      <c r="B35" s="9" t="inlineStr">
        <is>
          <t>Drilldown</t>
        </is>
      </c>
      <c r="C35" s="9" t="inlineStr">
        <is>
          <t>Settlement</t>
        </is>
      </c>
      <c r="D35" s="9" t="inlineStr">
        <is>
          <t>new_post</t>
        </is>
      </c>
      <c r="E35" s="9" t="inlineStr">
        <is>
          <t>4778272</t>
        </is>
      </c>
      <c r="F35" s="9" t="inlineStr">
        <is>
          <t>2292080</t>
        </is>
      </c>
      <c r="G35" s="9" t="inlineStr">
        <is>
          <t>FINANCIAL</t>
        </is>
      </c>
      <c r="H35" s="9" t="inlineStr">
        <is>
          <t>SWAP</t>
        </is>
      </c>
      <c r="I35" s="9" t="inlineStr">
        <is>
          <t>Heating Degree Day</t>
        </is>
      </c>
      <c r="J35" s="9" t="inlineStr">
        <is>
          <t>Cincinatti Airport</t>
        </is>
      </c>
      <c r="K35" s="9" t="n">
        <v/>
      </c>
      <c r="L35" s="9" t="n">
        <v/>
      </c>
      <c r="M35" s="9" t="n">
        <v/>
      </c>
      <c r="N35" s="9" t="n">
        <v>0</v>
      </c>
      <c r="O35" s="9" t="n">
        <v>1920672.37</v>
      </c>
      <c r="P35" s="10">
        <f>O35-N35</f>
        <v/>
      </c>
      <c r="Q35" s="9" t="inlineStr">
        <is>
          <t>true</t>
        </is>
      </c>
    </row>
    <row r="36">
      <c r="A36" s="9" t="inlineStr">
        <is>
          <t>unexplained_result_findetail_position.xlsx</t>
        </is>
      </c>
      <c r="B36" s="9" t="inlineStr">
        <is>
          <t>Drilldown</t>
        </is>
      </c>
      <c r="C36" s="9" t="inlineStr">
        <is>
          <t>Settlement</t>
        </is>
      </c>
      <c r="D36" s="9" t="inlineStr">
        <is>
          <t>new_post</t>
        </is>
      </c>
      <c r="E36" s="9" t="inlineStr">
        <is>
          <t>4778279</t>
        </is>
      </c>
      <c r="F36" s="9" t="inlineStr">
        <is>
          <t>2292084</t>
        </is>
      </c>
      <c r="G36" s="9" t="inlineStr">
        <is>
          <t>FINANCIAL</t>
        </is>
      </c>
      <c r="H36" s="9" t="inlineStr">
        <is>
          <t>SWAP</t>
        </is>
      </c>
      <c r="I36" s="9" t="inlineStr">
        <is>
          <t>Heating Degree Day</t>
        </is>
      </c>
      <c r="J36" s="9" t="inlineStr">
        <is>
          <t>Cincinatti Airport</t>
        </is>
      </c>
      <c r="K36" s="9" t="n">
        <v/>
      </c>
      <c r="L36" s="9" t="n">
        <v/>
      </c>
      <c r="M36" s="9" t="n">
        <v/>
      </c>
      <c r="N36" s="9" t="n">
        <v>0</v>
      </c>
      <c r="O36" s="9" t="n">
        <v>2147660.92</v>
      </c>
      <c r="P36" s="10">
        <f>O36-N36</f>
        <v/>
      </c>
      <c r="Q36" s="9" t="inlineStr">
        <is>
          <t>true</t>
        </is>
      </c>
    </row>
    <row r="37">
      <c r="A37" s="9" t="inlineStr">
        <is>
          <t>unexplained_result_findetail_position.xlsx</t>
        </is>
      </c>
      <c r="B37" s="9" t="inlineStr">
        <is>
          <t>Drilldown</t>
        </is>
      </c>
      <c r="C37" s="9" t="inlineStr">
        <is>
          <t>Settlement</t>
        </is>
      </c>
      <c r="D37" s="9" t="inlineStr">
        <is>
          <t>new_post</t>
        </is>
      </c>
      <c r="E37" s="9" t="inlineStr">
        <is>
          <t>4778295</t>
        </is>
      </c>
      <c r="F37" s="9" t="inlineStr">
        <is>
          <t>2292093</t>
        </is>
      </c>
      <c r="G37" s="9" t="inlineStr">
        <is>
          <t>FINANCIAL</t>
        </is>
      </c>
      <c r="H37" s="9" t="inlineStr">
        <is>
          <t>SWAP</t>
        </is>
      </c>
      <c r="I37" s="9" t="inlineStr">
        <is>
          <t>Heating Degree Day</t>
        </is>
      </c>
      <c r="J37" s="9" t="inlineStr">
        <is>
          <t>Cincinatti Airport</t>
        </is>
      </c>
      <c r="K37" s="9" t="n">
        <v/>
      </c>
      <c r="L37" s="9" t="n">
        <v/>
      </c>
      <c r="M37" s="9" t="n">
        <v/>
      </c>
      <c r="N37" s="9" t="n">
        <v>0</v>
      </c>
      <c r="O37" s="9" t="n">
        <v>2147660.92</v>
      </c>
      <c r="P37" s="10">
        <f>O37-N37</f>
        <v/>
      </c>
      <c r="Q37" s="9" t="inlineStr">
        <is>
          <t>true</t>
        </is>
      </c>
    </row>
    <row r="38">
      <c r="A38" s="9" t="inlineStr">
        <is>
          <t>unexplained_result_findetail_position.xlsx</t>
        </is>
      </c>
      <c r="B38" s="9" t="inlineStr">
        <is>
          <t>Drilldown</t>
        </is>
      </c>
      <c r="C38" s="9" t="inlineStr">
        <is>
          <t>Settlement</t>
        </is>
      </c>
      <c r="D38" s="9" t="inlineStr">
        <is>
          <t>new_post</t>
        </is>
      </c>
      <c r="E38" s="9" t="inlineStr">
        <is>
          <t>4778297</t>
        </is>
      </c>
      <c r="F38" s="9" t="inlineStr">
        <is>
          <t>2292092</t>
        </is>
      </c>
      <c r="G38" s="9" t="inlineStr">
        <is>
          <t>FINANCIAL</t>
        </is>
      </c>
      <c r="H38" s="9" t="inlineStr">
        <is>
          <t>SWAP</t>
        </is>
      </c>
      <c r="I38" s="9" t="inlineStr">
        <is>
          <t>Heating Degree Day</t>
        </is>
      </c>
      <c r="J38" s="9" t="inlineStr">
        <is>
          <t>Cincinatti Airport</t>
        </is>
      </c>
      <c r="K38" s="9" t="n">
        <v/>
      </c>
      <c r="L38" s="9" t="n">
        <v/>
      </c>
      <c r="M38" s="9" t="n">
        <v/>
      </c>
      <c r="N38" s="9" t="n">
        <v>0</v>
      </c>
      <c r="O38" s="9" t="n">
        <v>4295321.84</v>
      </c>
      <c r="P38" s="10">
        <f>O38-N38</f>
        <v/>
      </c>
      <c r="Q38" s="9" t="inlineStr">
        <is>
          <t>true</t>
        </is>
      </c>
    </row>
    <row r="39">
      <c r="A39" s="9" t="inlineStr">
        <is>
          <t>unexplained_result_findetail_position.xlsx</t>
        </is>
      </c>
      <c r="B39" s="9" t="inlineStr">
        <is>
          <t>Drilldown</t>
        </is>
      </c>
      <c r="C39" s="9" t="inlineStr">
        <is>
          <t>Settlement</t>
        </is>
      </c>
      <c r="D39" s="9" t="inlineStr">
        <is>
          <t>new_post</t>
        </is>
      </c>
      <c r="E39" s="9" t="inlineStr">
        <is>
          <t>4861605</t>
        </is>
      </c>
      <c r="F39" s="9" t="inlineStr">
        <is>
          <t>2320121</t>
        </is>
      </c>
      <c r="G39" s="9" t="inlineStr">
        <is>
          <t>FINANCIAL</t>
        </is>
      </c>
      <c r="H39" s="9" t="inlineStr">
        <is>
          <t>SWAP</t>
        </is>
      </c>
      <c r="I39" s="9" t="inlineStr">
        <is>
          <t>Heating Degree Day</t>
        </is>
      </c>
      <c r="J39" s="9" t="inlineStr">
        <is>
          <t>Cincinatti Airport</t>
        </is>
      </c>
      <c r="K39" s="9" t="n">
        <v/>
      </c>
      <c r="L39" s="9" t="n">
        <v/>
      </c>
      <c r="M39" s="9" t="n">
        <v/>
      </c>
      <c r="N39" s="9" t="n">
        <v>0</v>
      </c>
      <c r="O39" s="9" t="n">
        <v>6872514.95</v>
      </c>
      <c r="P39" s="10">
        <f>O39-N39</f>
        <v/>
      </c>
      <c r="Q39" s="9" t="inlineStr">
        <is>
          <t>true</t>
        </is>
      </c>
    </row>
    <row r="40">
      <c r="A40" s="9" t="inlineStr">
        <is>
          <t>unexplained_result_findetail_position.xlsx</t>
        </is>
      </c>
      <c r="B40" s="9" t="inlineStr">
        <is>
          <t>Drilldown</t>
        </is>
      </c>
      <c r="C40" s="9" t="inlineStr">
        <is>
          <t>Settlement</t>
        </is>
      </c>
      <c r="D40" s="9" t="inlineStr">
        <is>
          <t>new_post</t>
        </is>
      </c>
      <c r="E40" s="9" t="inlineStr">
        <is>
          <t>4861624</t>
        </is>
      </c>
      <c r="F40" s="9" t="inlineStr">
        <is>
          <t>2320140</t>
        </is>
      </c>
      <c r="G40" s="9" t="inlineStr">
        <is>
          <t>FINANCIAL</t>
        </is>
      </c>
      <c r="H40" s="9" t="inlineStr">
        <is>
          <t>SWAP</t>
        </is>
      </c>
      <c r="I40" s="9" t="inlineStr">
        <is>
          <t>Heating Degree Day</t>
        </is>
      </c>
      <c r="J40" s="9" t="inlineStr">
        <is>
          <t>Cincinatti Airport</t>
        </is>
      </c>
      <c r="K40" s="9" t="n">
        <v/>
      </c>
      <c r="L40" s="9" t="n">
        <v/>
      </c>
      <c r="M40" s="9" t="n">
        <v/>
      </c>
      <c r="N40" s="9" t="n">
        <v>0</v>
      </c>
      <c r="O40" s="9" t="n">
        <v>1718128.74</v>
      </c>
      <c r="P40" s="10">
        <f>O40-N40</f>
        <v/>
      </c>
      <c r="Q40" s="9" t="inlineStr">
        <is>
          <t>true</t>
        </is>
      </c>
    </row>
    <row r="41">
      <c r="A41" s="9" t="inlineStr">
        <is>
          <t>unexplained_result_findetail_position.xlsx</t>
        </is>
      </c>
      <c r="B41" s="9" t="inlineStr">
        <is>
          <t>Drilldown</t>
        </is>
      </c>
      <c r="C41" s="9" t="inlineStr">
        <is>
          <t>Settlement</t>
        </is>
      </c>
      <c r="D41" s="9" t="inlineStr">
        <is>
          <t>new_post</t>
        </is>
      </c>
      <c r="E41" s="9" t="inlineStr">
        <is>
          <t>4863095</t>
        </is>
      </c>
      <c r="F41" s="9" t="inlineStr">
        <is>
          <t>2320256</t>
        </is>
      </c>
      <c r="G41" s="9" t="inlineStr">
        <is>
          <t>FINANCIAL</t>
        </is>
      </c>
      <c r="H41" s="9" t="inlineStr">
        <is>
          <t>SWAP</t>
        </is>
      </c>
      <c r="I41" s="9" t="inlineStr">
        <is>
          <t>Heating Degree Day</t>
        </is>
      </c>
      <c r="J41" s="9" t="inlineStr">
        <is>
          <t>Cincinatti Airport</t>
        </is>
      </c>
      <c r="K41" s="9" t="n">
        <v/>
      </c>
      <c r="L41" s="9" t="n">
        <v/>
      </c>
      <c r="M41" s="9" t="n">
        <v/>
      </c>
      <c r="N41" s="9" t="n">
        <v>0</v>
      </c>
      <c r="O41" s="9" t="n">
        <v>1564474.95</v>
      </c>
      <c r="P41" s="10">
        <f>O41-N41</f>
        <v/>
      </c>
      <c r="Q41" s="9" t="inlineStr">
        <is>
          <t>true</t>
        </is>
      </c>
    </row>
    <row r="42">
      <c r="A42" s="9" t="inlineStr">
        <is>
          <t>unexplained_result_findetail_position.xlsx</t>
        </is>
      </c>
      <c r="B42" s="9" t="inlineStr">
        <is>
          <t>Drilldown</t>
        </is>
      </c>
      <c r="C42" s="9" t="inlineStr">
        <is>
          <t>Settlement</t>
        </is>
      </c>
      <c r="D42" s="9" t="inlineStr">
        <is>
          <t>new_post</t>
        </is>
      </c>
      <c r="E42" s="9" t="inlineStr">
        <is>
          <t>4863103</t>
        </is>
      </c>
      <c r="F42" s="9" t="inlineStr">
        <is>
          <t>2320264</t>
        </is>
      </c>
      <c r="G42" s="9" t="inlineStr">
        <is>
          <t>FINANCIAL</t>
        </is>
      </c>
      <c r="H42" s="9" t="inlineStr">
        <is>
          <t>SWAP</t>
        </is>
      </c>
      <c r="I42" s="9" t="inlineStr">
        <is>
          <t>Heating Degree Day</t>
        </is>
      </c>
      <c r="J42" s="9" t="inlineStr">
        <is>
          <t>Cincinatti Airport</t>
        </is>
      </c>
      <c r="K42" s="9" t="n">
        <v/>
      </c>
      <c r="L42" s="9" t="n">
        <v/>
      </c>
      <c r="M42" s="9" t="n">
        <v/>
      </c>
      <c r="N42" s="9" t="n">
        <v>0</v>
      </c>
      <c r="O42" s="9" t="n">
        <v>6257899.79</v>
      </c>
      <c r="P42" s="10">
        <f>O42-N42</f>
        <v/>
      </c>
      <c r="Q42" s="9" t="inlineStr">
        <is>
          <t>true</t>
        </is>
      </c>
    </row>
    <row r="43">
      <c r="A43" s="9" t="inlineStr">
        <is>
          <t>unexplained_result_findetail_position.xlsx</t>
        </is>
      </c>
      <c r="B43" s="9" t="inlineStr">
        <is>
          <t>Drilldown</t>
        </is>
      </c>
      <c r="C43" s="9" t="inlineStr">
        <is>
          <t>Settlement</t>
        </is>
      </c>
      <c r="D43" s="9" t="inlineStr">
        <is>
          <t>new_post</t>
        </is>
      </c>
      <c r="E43" s="9" t="inlineStr">
        <is>
          <t>4863110</t>
        </is>
      </c>
      <c r="F43" s="9" t="inlineStr">
        <is>
          <t>2320271</t>
        </is>
      </c>
      <c r="G43" s="9" t="inlineStr">
        <is>
          <t>FINANCIAL</t>
        </is>
      </c>
      <c r="H43" s="9" t="inlineStr">
        <is>
          <t>SWAP</t>
        </is>
      </c>
      <c r="I43" s="9" t="inlineStr">
        <is>
          <t>Heating Degree Day</t>
        </is>
      </c>
      <c r="J43" s="9" t="inlineStr">
        <is>
          <t>Cincinatti Airport</t>
        </is>
      </c>
      <c r="K43" s="9" t="n">
        <v/>
      </c>
      <c r="L43" s="9" t="n">
        <v/>
      </c>
      <c r="M43" s="9" t="n">
        <v/>
      </c>
      <c r="N43" s="9" t="n">
        <v>0</v>
      </c>
      <c r="O43" s="9" t="n">
        <v>1718128.74</v>
      </c>
      <c r="P43" s="10">
        <f>O43-N43</f>
        <v/>
      </c>
      <c r="Q43" s="9" t="inlineStr">
        <is>
          <t>true</t>
        </is>
      </c>
    </row>
    <row r="44">
      <c r="A44" s="9" t="inlineStr">
        <is>
          <t>unexplained_result_findetail_position.xlsx</t>
        </is>
      </c>
      <c r="B44" s="9" t="inlineStr">
        <is>
          <t>Drilldown</t>
        </is>
      </c>
      <c r="C44" s="9" t="inlineStr">
        <is>
          <t>Settlement</t>
        </is>
      </c>
      <c r="D44" s="9" t="inlineStr">
        <is>
          <t>new_post</t>
        </is>
      </c>
      <c r="E44" s="9" t="inlineStr">
        <is>
          <t>4863114</t>
        </is>
      </c>
      <c r="F44" s="9" t="inlineStr">
        <is>
          <t>2320275</t>
        </is>
      </c>
      <c r="G44" s="9" t="inlineStr">
        <is>
          <t>FINANCIAL</t>
        </is>
      </c>
      <c r="H44" s="9" t="inlineStr">
        <is>
          <t>SWAP</t>
        </is>
      </c>
      <c r="I44" s="9" t="inlineStr">
        <is>
          <t>Heating Degree Day</t>
        </is>
      </c>
      <c r="J44" s="9" t="inlineStr">
        <is>
          <t>Cincinatti Airport</t>
        </is>
      </c>
      <c r="K44" s="9" t="n">
        <v/>
      </c>
      <c r="L44" s="9" t="n">
        <v/>
      </c>
      <c r="M44" s="9" t="n">
        <v/>
      </c>
      <c r="N44" s="9" t="n">
        <v>0</v>
      </c>
      <c r="O44" s="9" t="n">
        <v>6872514.95</v>
      </c>
      <c r="P44" s="10">
        <f>O44-N44</f>
        <v/>
      </c>
      <c r="Q44" s="9" t="inlineStr">
        <is>
          <t>true</t>
        </is>
      </c>
    </row>
    <row r="45">
      <c r="A45" s="8" t="inlineStr">
        <is>
          <t>ISSUE - Missing position (post)  (1 rows)</t>
        </is>
      </c>
    </row>
    <row r="46">
      <c r="A46" s="11" t="inlineStr">
        <is>
          <t>unexplained_result_findetail_position.xlsx</t>
        </is>
      </c>
      <c r="B46" s="11" t="inlineStr">
        <is>
          <t>Drilldown</t>
        </is>
      </c>
      <c r="C46" s="11" t="inlineStr">
        <is>
          <t>Settlement</t>
        </is>
      </c>
      <c r="D46" s="11" t="inlineStr">
        <is>
          <t>missing_post</t>
        </is>
      </c>
      <c r="E46" s="11" t="n">
        <v>3247645</v>
      </c>
      <c r="F46" s="11" t="inlineStr">
        <is>
          <t>1787963</t>
        </is>
      </c>
      <c r="G46" s="11" t="inlineStr">
        <is>
          <t>PHYSICAL</t>
        </is>
      </c>
      <c r="H46" s="11" t="inlineStr">
        <is>
          <t>BUY</t>
        </is>
      </c>
      <c r="I46" s="11" t="inlineStr">
        <is>
          <t>Natural Gas</t>
        </is>
      </c>
      <c r="J46" s="11" t="inlineStr">
        <is>
          <t>Houston Ship Channel</t>
        </is>
      </c>
      <c r="K46" s="11" t="n">
        <v/>
      </c>
      <c r="L46" s="11" t="n">
        <v/>
      </c>
      <c r="M46" s="11" t="n">
        <v/>
      </c>
      <c r="N46" s="11" t="n">
        <v>0</v>
      </c>
      <c r="O46" s="11" t="n">
        <v>0</v>
      </c>
      <c r="P46" s="12">
        <f>O46-N46</f>
        <v/>
      </c>
      <c r="Q46" s="11" t="inlineStr">
        <is>
          <t>true</t>
        </is>
      </c>
    </row>
    <row r="47">
      <c r="A47" s="8" t="inlineStr">
        <is>
          <t>FALSE - no issue  (3 rows)</t>
        </is>
      </c>
    </row>
    <row r="48">
      <c r="A48" s="13" t="inlineStr">
        <is>
          <t>unexplained_result_findetail_position.xlsx</t>
        </is>
      </c>
      <c r="B48" s="13" t="inlineStr">
        <is>
          <t>Drilldown</t>
        </is>
      </c>
      <c r="C48" s="13" t="inlineStr">
        <is>
          <t>Settlement</t>
        </is>
      </c>
      <c r="D48" s="13" t="inlineStr">
        <is>
          <t>mismatch</t>
        </is>
      </c>
      <c r="E48" s="13" t="n">
        <v>1248020</v>
      </c>
      <c r="F48" s="13" t="inlineStr">
        <is>
          <t>1083565</t>
        </is>
      </c>
      <c r="G48" s="13" t="inlineStr">
        <is>
          <t>PHYSICAL</t>
        </is>
      </c>
      <c r="H48" s="13" t="inlineStr">
        <is>
          <t>BUY</t>
        </is>
      </c>
      <c r="I48" s="13" t="inlineStr">
        <is>
          <t>Gas Storage</t>
        </is>
      </c>
      <c r="J48" s="13" t="inlineStr">
        <is>
          <t>Chicago City Gates</t>
        </is>
      </c>
      <c r="K48" s="13" t="n">
        <v/>
      </c>
      <c r="L48" s="13" t="n">
        <v/>
      </c>
      <c r="M48" s="13" t="n">
        <v/>
      </c>
      <c r="N48" s="13" t="n">
        <v>6.74</v>
      </c>
      <c r="O48" s="13" t="n">
        <v>6.74</v>
      </c>
      <c r="P48" s="14">
        <f>O48-N48</f>
        <v/>
      </c>
      <c r="Q48" s="13" t="inlineStr">
        <is>
          <t>false</t>
        </is>
      </c>
    </row>
    <row r="49">
      <c r="A49" s="13" t="inlineStr">
        <is>
          <t>unexplained_result_findetail_position.xlsx</t>
        </is>
      </c>
      <c r="B49" s="13" t="inlineStr">
        <is>
          <t>Drilldown</t>
        </is>
      </c>
      <c r="C49" s="13" t="inlineStr">
        <is>
          <t>Settlement</t>
        </is>
      </c>
      <c r="D49" s="13" t="inlineStr">
        <is>
          <t>mismatch</t>
        </is>
      </c>
      <c r="E49" s="13" t="n">
        <v>2706967</v>
      </c>
      <c r="F49" s="13" t="inlineStr">
        <is>
          <t>1634623</t>
        </is>
      </c>
      <c r="G49" s="13" t="inlineStr">
        <is>
          <t>PHYSICAL</t>
        </is>
      </c>
      <c r="H49" s="13" t="inlineStr">
        <is>
          <t>BUY</t>
        </is>
      </c>
      <c r="I49" s="13" t="inlineStr">
        <is>
          <t>Gas Storage</t>
        </is>
      </c>
      <c r="J49" s="13" t="inlineStr">
        <is>
          <t>Worsham Storage</t>
        </is>
      </c>
      <c r="K49" s="13" t="n">
        <v/>
      </c>
      <c r="L49" s="13" t="n">
        <v/>
      </c>
      <c r="M49" s="13" t="n">
        <v/>
      </c>
      <c r="N49" s="13" t="n">
        <v>0</v>
      </c>
      <c r="O49" s="13" t="n">
        <v>0</v>
      </c>
      <c r="P49" s="14">
        <f>O49-N49</f>
        <v/>
      </c>
      <c r="Q49" s="13" t="inlineStr">
        <is>
          <t>false</t>
        </is>
      </c>
    </row>
    <row r="50">
      <c r="A50" s="13" t="inlineStr">
        <is>
          <t>unexplained_result_findetail_position.xlsx</t>
        </is>
      </c>
      <c r="B50" s="13" t="inlineStr">
        <is>
          <t>Drilldown</t>
        </is>
      </c>
      <c r="C50" s="13" t="inlineStr">
        <is>
          <t>Settlement</t>
        </is>
      </c>
      <c r="D50" s="13" t="inlineStr">
        <is>
          <t>mismatch</t>
        </is>
      </c>
      <c r="E50" s="13" t="n">
        <v>3718624</v>
      </c>
      <c r="F50" s="13" t="inlineStr">
        <is>
          <t>1953951</t>
        </is>
      </c>
      <c r="G50" s="13" t="inlineStr">
        <is>
          <t>PHYSICAL</t>
        </is>
      </c>
      <c r="H50" s="13" t="inlineStr">
        <is>
          <t>BUY</t>
        </is>
      </c>
      <c r="I50" s="13" t="inlineStr">
        <is>
          <t>REC Texas</t>
        </is>
      </c>
      <c r="J50" s="13" t="inlineStr">
        <is>
          <t>REC V2026</t>
        </is>
      </c>
      <c r="K50" s="13" t="n">
        <v/>
      </c>
      <c r="L50" s="13" t="n">
        <v/>
      </c>
      <c r="M50" s="13" t="n">
        <v/>
      </c>
      <c r="N50" s="13" t="n">
        <v>0</v>
      </c>
      <c r="O50" s="13" t="n">
        <v>0</v>
      </c>
      <c r="P50" s="14">
        <f>O50-N50</f>
        <v/>
      </c>
      <c r="Q50" s="13" t="inlineStr">
        <is>
          <t>false</t>
        </is>
      </c>
    </row>
  </sheetData>
  <mergeCells count="4">
    <mergeCell ref="A45:Q45"/>
    <mergeCell ref="A47:Q47"/>
    <mergeCell ref="A5:Q5"/>
    <mergeCell ref="A9:Q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50"/>
  <sheetViews>
    <sheetView showGridLines="0" workbookViewId="0">
      <pane ySplit="3" topLeftCell="A4" activePane="bottomLeft" state="frozen"/>
      <selection pane="bottomLeft"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6" customWidth="1" min="14" max="14"/>
    <col width="16" customWidth="1" min="15" max="15"/>
    <col width="16" customWidth="1" min="16" max="16"/>
    <col width="10" customWidth="1" min="17" max="17"/>
  </cols>
  <sheetData>
    <row r="1">
      <c r="A1" s="1" t="inlineStr">
        <is>
          <t>Triage: grossvaluesum_mismatch</t>
        </is>
      </c>
    </row>
    <row r="2">
      <c r="A2" s="2" t="inlineStr">
        <is>
          <t>Rows grouped by mismatch type (each is a distinct issue), then FALSE (no issue).</t>
        </is>
      </c>
    </row>
    <row r="4">
      <c r="A4" s="3" t="inlineStr">
        <is>
          <t>source_file</t>
        </is>
      </c>
      <c r="B4" s="3" t="inlineStr">
        <is>
          <t>sheet_name</t>
        </is>
      </c>
      <c r="C4" s="3" t="inlineStr">
        <is>
          <t>process_type</t>
        </is>
      </c>
      <c r="D4" s="3" t="inlineStr">
        <is>
          <t>mismatchtype</t>
        </is>
      </c>
      <c r="E4" s="3" t="inlineStr">
        <is>
          <t>position</t>
        </is>
      </c>
      <c r="F4" s="3" t="inlineStr">
        <is>
          <t>trade</t>
        </is>
      </c>
      <c r="G4" s="3" t="inlineStr">
        <is>
          <t>positionmode</t>
        </is>
      </c>
      <c r="H4" s="3" t="inlineStr">
        <is>
          <t>positiontype</t>
        </is>
      </c>
      <c r="I4" s="3" t="inlineStr">
        <is>
          <t>product</t>
        </is>
      </c>
      <c r="J4" s="3" t="inlineStr">
        <is>
          <t>marketarea</t>
        </is>
      </c>
      <c r="K4" s="3" t="inlineStr">
        <is>
          <t>var_category</t>
        </is>
      </c>
      <c r="L4" s="3" t="inlineStr">
        <is>
          <t>var_id</t>
        </is>
      </c>
      <c r="M4" s="3" t="inlineStr">
        <is>
          <t>comments</t>
        </is>
      </c>
      <c r="N4" s="3" t="inlineStr">
        <is>
          <t>pre_grossvaluesum</t>
        </is>
      </c>
      <c r="O4" s="3" t="inlineStr">
        <is>
          <t>post_grossvaluesum</t>
        </is>
      </c>
      <c r="P4" s="3" t="inlineStr">
        <is>
          <t>difference (post - pre)</t>
        </is>
      </c>
      <c r="Q4" s="3" t="inlineStr">
        <is>
          <t>grossvaluesum_mismatch</t>
        </is>
      </c>
    </row>
    <row r="5">
      <c r="A5" s="8" t="inlineStr">
        <is>
          <t>ISSUE - Mismatch  (3 rows)</t>
        </is>
      </c>
    </row>
    <row r="6">
      <c r="A6" s="15" t="inlineStr">
        <is>
          <t>unexplained_result_findetail_position.xlsx</t>
        </is>
      </c>
      <c r="B6" s="15" t="inlineStr">
        <is>
          <t>Drilldown</t>
        </is>
      </c>
      <c r="C6" s="15" t="inlineStr">
        <is>
          <t>Settlement</t>
        </is>
      </c>
      <c r="D6" s="15" t="inlineStr">
        <is>
          <t>mismatch</t>
        </is>
      </c>
      <c r="E6" s="15" t="n">
        <v>4893021</v>
      </c>
      <c r="F6" s="15" t="inlineStr">
        <is>
          <t>2333050</t>
        </is>
      </c>
      <c r="G6" s="15" t="inlineStr">
        <is>
          <t>PHYSICAL</t>
        </is>
      </c>
      <c r="H6" s="15" t="inlineStr">
        <is>
          <t>BUY</t>
        </is>
      </c>
      <c r="I6" s="15" t="inlineStr">
        <is>
          <t>Gas Transportation</t>
        </is>
      </c>
      <c r="J6" s="15" t="inlineStr">
        <is>
          <t>TET M2</t>
        </is>
      </c>
      <c r="K6" s="15" t="n">
        <v/>
      </c>
      <c r="L6" s="15" t="n">
        <v/>
      </c>
      <c r="M6" s="15" t="n">
        <v/>
      </c>
      <c r="N6" s="15" t="n">
        <v>32827.5</v>
      </c>
      <c r="O6" s="15" t="n">
        <v>17685</v>
      </c>
      <c r="P6" s="16">
        <f>O6-N6</f>
        <v/>
      </c>
      <c r="Q6" s="15" t="inlineStr">
        <is>
          <t>true</t>
        </is>
      </c>
    </row>
    <row r="7">
      <c r="A7" s="15" t="inlineStr">
        <is>
          <t>unexplained_result_findetail_position.xlsx</t>
        </is>
      </c>
      <c r="B7" s="15" t="inlineStr">
        <is>
          <t>Drilldown</t>
        </is>
      </c>
      <c r="C7" s="15" t="inlineStr">
        <is>
          <t>Settlement</t>
        </is>
      </c>
      <c r="D7" s="15" t="inlineStr">
        <is>
          <t>mismatch</t>
        </is>
      </c>
      <c r="E7" s="15" t="n">
        <v>4760336</v>
      </c>
      <c r="F7" s="15" t="inlineStr">
        <is>
          <t>2286187</t>
        </is>
      </c>
      <c r="G7" s="15" t="inlineStr">
        <is>
          <t>PHYSICAL</t>
        </is>
      </c>
      <c r="H7" s="15" t="inlineStr">
        <is>
          <t>BUY</t>
        </is>
      </c>
      <c r="I7" s="15" t="inlineStr">
        <is>
          <t>Gas Transportation</t>
        </is>
      </c>
      <c r="J7" s="15" t="inlineStr">
        <is>
          <t>PGE CG</t>
        </is>
      </c>
      <c r="K7" s="15" t="n">
        <v/>
      </c>
      <c r="L7" s="15" t="n">
        <v/>
      </c>
      <c r="M7" s="15" t="n">
        <v/>
      </c>
      <c r="N7" s="15" t="n">
        <v>28037.72</v>
      </c>
      <c r="O7" s="15" t="n">
        <v>11651.51</v>
      </c>
      <c r="P7" s="16">
        <f>O7-N7</f>
        <v/>
      </c>
      <c r="Q7" s="15" t="inlineStr">
        <is>
          <t>true</t>
        </is>
      </c>
    </row>
    <row r="8">
      <c r="A8" s="15" t="inlineStr">
        <is>
          <t>unexplained_result_findetail_position.xlsx</t>
        </is>
      </c>
      <c r="B8" s="15" t="inlineStr">
        <is>
          <t>Drilldown</t>
        </is>
      </c>
      <c r="C8" s="15" t="inlineStr">
        <is>
          <t>Settlement</t>
        </is>
      </c>
      <c r="D8" s="15" t="inlineStr">
        <is>
          <t>mismatch</t>
        </is>
      </c>
      <c r="E8" s="15" t="n">
        <v>4902289</v>
      </c>
      <c r="F8" s="15" t="inlineStr">
        <is>
          <t>2334927</t>
        </is>
      </c>
      <c r="G8" s="15" t="inlineStr">
        <is>
          <t>PHYSICAL</t>
        </is>
      </c>
      <c r="H8" s="15" t="inlineStr">
        <is>
          <t>BUY</t>
        </is>
      </c>
      <c r="I8" s="15" t="inlineStr">
        <is>
          <t>ULSD</t>
        </is>
      </c>
      <c r="J8" s="15" t="inlineStr">
        <is>
          <t>Hopewell Plant</t>
        </is>
      </c>
      <c r="K8" s="15" t="n">
        <v/>
      </c>
      <c r="L8" s="15" t="n">
        <v/>
      </c>
      <c r="M8" s="15" t="n">
        <v/>
      </c>
      <c r="N8" s="15" t="n">
        <v>0</v>
      </c>
      <c r="O8" s="15" t="n">
        <v>2370.13</v>
      </c>
      <c r="P8" s="16">
        <f>O8-N8</f>
        <v/>
      </c>
      <c r="Q8" s="15" t="inlineStr">
        <is>
          <t>true</t>
        </is>
      </c>
    </row>
    <row r="9">
      <c r="A9" s="8" t="inlineStr">
        <is>
          <t>ISSUE - New position (post only)  (35 rows)</t>
        </is>
      </c>
    </row>
    <row r="10">
      <c r="A10" s="9" t="inlineStr">
        <is>
          <t>unexplained_result_findetail_position.xlsx</t>
        </is>
      </c>
      <c r="B10" s="9" t="inlineStr">
        <is>
          <t>Drilldown</t>
        </is>
      </c>
      <c r="C10" s="9" t="inlineStr">
        <is>
          <t>Settlement</t>
        </is>
      </c>
      <c r="D10" s="9" t="inlineStr">
        <is>
          <t>new_post</t>
        </is>
      </c>
      <c r="E10" s="9" t="n">
        <v>4347266</v>
      </c>
      <c r="F10" s="9" t="n">
        <v/>
      </c>
      <c r="G10" s="9" t="inlineStr">
        <is>
          <t>PHYSICAL</t>
        </is>
      </c>
      <c r="H10" s="9" t="inlineStr">
        <is>
          <t>BUY</t>
        </is>
      </c>
      <c r="I10" s="9" t="inlineStr">
        <is>
          <t>Gas Transportation</t>
        </is>
      </c>
      <c r="J10" s="9" t="inlineStr">
        <is>
          <t>Tennessee Z4-200 Leg</t>
        </is>
      </c>
      <c r="K10" s="9" t="n">
        <v/>
      </c>
      <c r="L10" s="9" t="n">
        <v/>
      </c>
      <c r="M10" s="9" t="n">
        <v/>
      </c>
      <c r="N10" s="9" t="n">
        <v>0</v>
      </c>
      <c r="O10" s="9" t="n">
        <v>516492</v>
      </c>
      <c r="P10" s="10">
        <f>O10-N10</f>
        <v/>
      </c>
      <c r="Q10" s="9" t="inlineStr">
        <is>
          <t>true</t>
        </is>
      </c>
    </row>
    <row r="11">
      <c r="A11" s="9" t="inlineStr">
        <is>
          <t>unexplained_result_findetail_position.xlsx</t>
        </is>
      </c>
      <c r="B11" s="9" t="inlineStr">
        <is>
          <t>Drilldown</t>
        </is>
      </c>
      <c r="C11" s="9" t="inlineStr">
        <is>
          <t>Settlement</t>
        </is>
      </c>
      <c r="D11" s="9" t="inlineStr">
        <is>
          <t>new_post</t>
        </is>
      </c>
      <c r="E11" s="9" t="n">
        <v>4676738</v>
      </c>
      <c r="F11" s="9" t="inlineStr">
        <is>
          <t>2258482</t>
        </is>
      </c>
      <c r="G11" s="9" t="inlineStr">
        <is>
          <t>FINANCIAL</t>
        </is>
      </c>
      <c r="H11" s="9" t="inlineStr">
        <is>
          <t>SWAP</t>
        </is>
      </c>
      <c r="I11" s="9" t="inlineStr">
        <is>
          <t>Heating Degree Day</t>
        </is>
      </c>
      <c r="J11" s="9" t="inlineStr">
        <is>
          <t>Chicago OHare Airport</t>
        </is>
      </c>
      <c r="K11" s="9" t="n">
        <v/>
      </c>
      <c r="L11" s="9" t="n">
        <v/>
      </c>
      <c r="M11" s="9" t="n">
        <v/>
      </c>
      <c r="N11" s="9" t="n">
        <v>0</v>
      </c>
      <c r="O11" s="9" t="n">
        <v>3843340.24</v>
      </c>
      <c r="P11" s="10">
        <f>O11-N11</f>
        <v/>
      </c>
      <c r="Q11" s="9" t="inlineStr">
        <is>
          <t>true</t>
        </is>
      </c>
    </row>
    <row r="12">
      <c r="A12" s="9" t="inlineStr">
        <is>
          <t>unexplained_result_findetail_position.xlsx</t>
        </is>
      </c>
      <c r="B12" s="9" t="inlineStr">
        <is>
          <t>Drilldown</t>
        </is>
      </c>
      <c r="C12" s="9" t="inlineStr">
        <is>
          <t>Settlement</t>
        </is>
      </c>
      <c r="D12" s="9" t="inlineStr">
        <is>
          <t>new_post</t>
        </is>
      </c>
      <c r="E12" s="9" t="n">
        <v>4677600</v>
      </c>
      <c r="F12" s="9" t="inlineStr">
        <is>
          <t>2258847</t>
        </is>
      </c>
      <c r="G12" s="9" t="inlineStr">
        <is>
          <t>FINANCIAL</t>
        </is>
      </c>
      <c r="H12" s="9" t="inlineStr">
        <is>
          <t>SWAP</t>
        </is>
      </c>
      <c r="I12" s="9" t="inlineStr">
        <is>
          <t>Heating Degree Day</t>
        </is>
      </c>
      <c r="J12" s="9" t="inlineStr">
        <is>
          <t>Chicago OHare Airport</t>
        </is>
      </c>
      <c r="K12" s="9" t="n">
        <v/>
      </c>
      <c r="L12" s="9" t="n">
        <v/>
      </c>
      <c r="M12" s="9" t="n">
        <v/>
      </c>
      <c r="N12" s="9" t="n">
        <v>0</v>
      </c>
      <c r="O12" s="9" t="n">
        <v>3843340.24</v>
      </c>
      <c r="P12" s="10">
        <f>O12-N12</f>
        <v/>
      </c>
      <c r="Q12" s="9" t="inlineStr">
        <is>
          <t>true</t>
        </is>
      </c>
    </row>
    <row r="13">
      <c r="A13" s="9" t="inlineStr">
        <is>
          <t>unexplained_result_findetail_position.xlsx</t>
        </is>
      </c>
      <c r="B13" s="9" t="inlineStr">
        <is>
          <t>Drilldown</t>
        </is>
      </c>
      <c r="C13" s="9" t="inlineStr">
        <is>
          <t>Settlement</t>
        </is>
      </c>
      <c r="D13" s="9" t="inlineStr">
        <is>
          <t>new_post</t>
        </is>
      </c>
      <c r="E13" s="9" t="n">
        <v>4677607</v>
      </c>
      <c r="F13" s="9" t="inlineStr">
        <is>
          <t>2258851</t>
        </is>
      </c>
      <c r="G13" s="9" t="inlineStr">
        <is>
          <t>FINANCIAL</t>
        </is>
      </c>
      <c r="H13" s="9" t="inlineStr">
        <is>
          <t>SWAP</t>
        </is>
      </c>
      <c r="I13" s="9" t="inlineStr">
        <is>
          <t>Heating Degree Day</t>
        </is>
      </c>
      <c r="J13" s="9" t="inlineStr">
        <is>
          <t>Chicago OHare Airport</t>
        </is>
      </c>
      <c r="K13" s="9" t="n">
        <v/>
      </c>
      <c r="L13" s="9" t="n">
        <v/>
      </c>
      <c r="M13" s="9" t="n">
        <v/>
      </c>
      <c r="N13" s="9" t="n">
        <v>0</v>
      </c>
      <c r="O13" s="9" t="n">
        <v>3843340.24</v>
      </c>
      <c r="P13" s="10">
        <f>O13-N13</f>
        <v/>
      </c>
      <c r="Q13" s="9" t="inlineStr">
        <is>
          <t>true</t>
        </is>
      </c>
    </row>
    <row r="14">
      <c r="A14" s="9" t="inlineStr">
        <is>
          <t>unexplained_result_findetail_position.xlsx</t>
        </is>
      </c>
      <c r="B14" s="9" t="inlineStr">
        <is>
          <t>Drilldown</t>
        </is>
      </c>
      <c r="C14" s="9" t="inlineStr">
        <is>
          <t>Settlement</t>
        </is>
      </c>
      <c r="D14" s="9" t="inlineStr">
        <is>
          <t>new_post</t>
        </is>
      </c>
      <c r="E14" s="9" t="n">
        <v>4758127</v>
      </c>
      <c r="F14" s="9" t="inlineStr">
        <is>
          <t>2285953</t>
        </is>
      </c>
      <c r="G14" s="9" t="inlineStr">
        <is>
          <t>FINANCIAL</t>
        </is>
      </c>
      <c r="H14" s="9" t="inlineStr">
        <is>
          <t>BUY</t>
        </is>
      </c>
      <c r="I14" s="9" t="inlineStr">
        <is>
          <t>Heating Degree Day</t>
        </is>
      </c>
      <c r="J14" s="9" t="inlineStr">
        <is>
          <t>DFW Airport</t>
        </is>
      </c>
      <c r="K14" s="9" t="n">
        <v/>
      </c>
      <c r="L14" s="9" t="n">
        <v/>
      </c>
      <c r="M14" s="9" t="n">
        <v/>
      </c>
      <c r="N14" s="9" t="n">
        <v>0</v>
      </c>
      <c r="O14" s="9" t="n">
        <v>0</v>
      </c>
      <c r="P14" s="10">
        <f>O14-N14</f>
        <v/>
      </c>
      <c r="Q14" s="9" t="inlineStr">
        <is>
          <t>true</t>
        </is>
      </c>
    </row>
    <row r="15">
      <c r="A15" s="9" t="inlineStr">
        <is>
          <t>unexplained_result_findetail_position.xlsx</t>
        </is>
      </c>
      <c r="B15" s="9" t="inlineStr">
        <is>
          <t>Drilldown</t>
        </is>
      </c>
      <c r="C15" s="9" t="inlineStr">
        <is>
          <t>Settlement</t>
        </is>
      </c>
      <c r="D15" s="9" t="inlineStr">
        <is>
          <t>new_post</t>
        </is>
      </c>
      <c r="E15" s="9" t="inlineStr">
        <is>
          <t>4758128</t>
        </is>
      </c>
      <c r="F15" s="9" t="inlineStr">
        <is>
          <t>2285953</t>
        </is>
      </c>
      <c r="G15" s="9" t="inlineStr">
        <is>
          <t>FINANCIAL</t>
        </is>
      </c>
      <c r="H15" s="9" t="inlineStr">
        <is>
          <t>BUY</t>
        </is>
      </c>
      <c r="I15" s="9" t="inlineStr">
        <is>
          <t>Heating Degree Day</t>
        </is>
      </c>
      <c r="J15" s="9" t="inlineStr">
        <is>
          <t xml:space="preserve">Houston - Bush Intercontinental </t>
        </is>
      </c>
      <c r="K15" s="9" t="n">
        <v/>
      </c>
      <c r="L15" s="9" t="n">
        <v/>
      </c>
      <c r="M15" s="9" t="n">
        <v/>
      </c>
      <c r="N15" s="9" t="n">
        <v>0</v>
      </c>
      <c r="O15" s="9" t="n">
        <v>0</v>
      </c>
      <c r="P15" s="10">
        <f>O15-N15</f>
        <v/>
      </c>
      <c r="Q15" s="9" t="inlineStr">
        <is>
          <t>true</t>
        </is>
      </c>
    </row>
    <row r="16">
      <c r="A16" s="9" t="inlineStr">
        <is>
          <t>unexplained_result_findetail_position.xlsx</t>
        </is>
      </c>
      <c r="B16" s="9" t="inlineStr">
        <is>
          <t>Drilldown</t>
        </is>
      </c>
      <c r="C16" s="9" t="inlineStr">
        <is>
          <t>Settlement</t>
        </is>
      </c>
      <c r="D16" s="9" t="inlineStr">
        <is>
          <t>new_post</t>
        </is>
      </c>
      <c r="E16" s="9" t="inlineStr">
        <is>
          <t>4760073</t>
        </is>
      </c>
      <c r="F16" s="9" t="inlineStr">
        <is>
          <t>2286035</t>
        </is>
      </c>
      <c r="G16" s="9" t="inlineStr">
        <is>
          <t>FINANCIAL</t>
        </is>
      </c>
      <c r="H16" s="9" t="inlineStr">
        <is>
          <t>SELL</t>
        </is>
      </c>
      <c r="I16" s="9" t="inlineStr">
        <is>
          <t>Heating Degree Day</t>
        </is>
      </c>
      <c r="J16" s="9" t="inlineStr">
        <is>
          <t>DFW Airport</t>
        </is>
      </c>
      <c r="K16" s="9" t="n">
        <v/>
      </c>
      <c r="L16" s="9" t="n">
        <v/>
      </c>
      <c r="M16" s="9" t="n">
        <v/>
      </c>
      <c r="N16" s="9" t="n">
        <v>0</v>
      </c>
      <c r="O16" s="9" t="n">
        <v>0</v>
      </c>
      <c r="P16" s="10">
        <f>O16-N16</f>
        <v/>
      </c>
      <c r="Q16" s="9" t="inlineStr">
        <is>
          <t>true</t>
        </is>
      </c>
    </row>
    <row r="17">
      <c r="A17" s="9" t="inlineStr">
        <is>
          <t>unexplained_result_findetail_position.xlsx</t>
        </is>
      </c>
      <c r="B17" s="9" t="inlineStr">
        <is>
          <t>Drilldown</t>
        </is>
      </c>
      <c r="C17" s="9" t="inlineStr">
        <is>
          <t>Settlement</t>
        </is>
      </c>
      <c r="D17" s="9" t="inlineStr">
        <is>
          <t>new_post</t>
        </is>
      </c>
      <c r="E17" s="9" t="inlineStr">
        <is>
          <t>4760074</t>
        </is>
      </c>
      <c r="F17" s="9" t="inlineStr">
        <is>
          <t>2286035</t>
        </is>
      </c>
      <c r="G17" s="9" t="inlineStr">
        <is>
          <t>FINANCIAL</t>
        </is>
      </c>
      <c r="H17" s="9" t="inlineStr">
        <is>
          <t>SELL</t>
        </is>
      </c>
      <c r="I17" s="9" t="inlineStr">
        <is>
          <t>Heating Degree Day</t>
        </is>
      </c>
      <c r="J17" s="9" t="inlineStr">
        <is>
          <t xml:space="preserve">Houston - Bush Intercontinental </t>
        </is>
      </c>
      <c r="K17" s="9" t="n">
        <v/>
      </c>
      <c r="L17" s="9" t="n">
        <v/>
      </c>
      <c r="M17" s="9" t="n">
        <v/>
      </c>
      <c r="N17" s="9" t="n">
        <v>0</v>
      </c>
      <c r="O17" s="9" t="n">
        <v>0</v>
      </c>
      <c r="P17" s="10">
        <f>O17-N17</f>
        <v/>
      </c>
      <c r="Q17" s="9" t="inlineStr">
        <is>
          <t>true</t>
        </is>
      </c>
    </row>
    <row r="18">
      <c r="A18" s="9" t="inlineStr">
        <is>
          <t>unexplained_result_findetail_position.xlsx</t>
        </is>
      </c>
      <c r="B18" s="9" t="inlineStr">
        <is>
          <t>Drilldown</t>
        </is>
      </c>
      <c r="C18" s="9" t="inlineStr">
        <is>
          <t>Settlement</t>
        </is>
      </c>
      <c r="D18" s="9" t="inlineStr">
        <is>
          <t>new_post</t>
        </is>
      </c>
      <c r="E18" s="9" t="inlineStr">
        <is>
          <t>4760096</t>
        </is>
      </c>
      <c r="F18" s="9" t="inlineStr">
        <is>
          <t>2286057</t>
        </is>
      </c>
      <c r="G18" s="9" t="inlineStr">
        <is>
          <t>FINANCIAL</t>
        </is>
      </c>
      <c r="H18" s="9" t="inlineStr">
        <is>
          <t>BUY</t>
        </is>
      </c>
      <c r="I18" s="9" t="inlineStr">
        <is>
          <t>Heating Degree Day</t>
        </is>
      </c>
      <c r="J18" s="9" t="inlineStr">
        <is>
          <t xml:space="preserve">Houston - Bush Intercontinental </t>
        </is>
      </c>
      <c r="K18" s="9" t="n">
        <v/>
      </c>
      <c r="L18" s="9" t="n">
        <v/>
      </c>
      <c r="M18" s="9" t="n">
        <v/>
      </c>
      <c r="N18" s="9" t="n">
        <v>0</v>
      </c>
      <c r="O18" s="9" t="n">
        <v>0</v>
      </c>
      <c r="P18" s="10">
        <f>O18-N18</f>
        <v/>
      </c>
      <c r="Q18" s="9" t="inlineStr">
        <is>
          <t>true</t>
        </is>
      </c>
    </row>
    <row r="19">
      <c r="A19" s="9" t="inlineStr">
        <is>
          <t>unexplained_result_findetail_position.xlsx</t>
        </is>
      </c>
      <c r="B19" s="9" t="inlineStr">
        <is>
          <t>Drilldown</t>
        </is>
      </c>
      <c r="C19" s="9" t="inlineStr">
        <is>
          <t>Settlement</t>
        </is>
      </c>
      <c r="D19" s="9" t="inlineStr">
        <is>
          <t>new_post</t>
        </is>
      </c>
      <c r="E19" s="9" t="inlineStr">
        <is>
          <t>4760101</t>
        </is>
      </c>
      <c r="F19" s="9" t="inlineStr">
        <is>
          <t>2286057</t>
        </is>
      </c>
      <c r="G19" s="9" t="inlineStr">
        <is>
          <t>FINANCIAL</t>
        </is>
      </c>
      <c r="H19" s="9" t="inlineStr">
        <is>
          <t>BUY</t>
        </is>
      </c>
      <c r="I19" s="9" t="inlineStr">
        <is>
          <t>Heating Degree Day</t>
        </is>
      </c>
      <c r="J19" s="9" t="inlineStr">
        <is>
          <t>DFW Airport</t>
        </is>
      </c>
      <c r="K19" s="9" t="n">
        <v/>
      </c>
      <c r="L19" s="9" t="n">
        <v/>
      </c>
      <c r="M19" s="9" t="n">
        <v/>
      </c>
      <c r="N19" s="9" t="n">
        <v>0</v>
      </c>
      <c r="O19" s="9" t="n">
        <v>0</v>
      </c>
      <c r="P19" s="10">
        <f>O19-N19</f>
        <v/>
      </c>
      <c r="Q19" s="9" t="inlineStr">
        <is>
          <t>true</t>
        </is>
      </c>
    </row>
    <row r="20">
      <c r="A20" s="9" t="inlineStr">
        <is>
          <t>unexplained_result_findetail_position.xlsx</t>
        </is>
      </c>
      <c r="B20" s="9" t="inlineStr">
        <is>
          <t>Drilldown</t>
        </is>
      </c>
      <c r="C20" s="9" t="inlineStr">
        <is>
          <t>Settlement</t>
        </is>
      </c>
      <c r="D20" s="9" t="inlineStr">
        <is>
          <t>new_post</t>
        </is>
      </c>
      <c r="E20" s="9" t="inlineStr">
        <is>
          <t>4773053</t>
        </is>
      </c>
      <c r="F20" s="9" t="inlineStr">
        <is>
          <t>2290356</t>
        </is>
      </c>
      <c r="G20" s="9" t="inlineStr">
        <is>
          <t>FINANCIAL</t>
        </is>
      </c>
      <c r="H20" s="9" t="inlineStr">
        <is>
          <t>SWAP</t>
        </is>
      </c>
      <c r="I20" s="9" t="inlineStr">
        <is>
          <t>Heating Degree Day</t>
        </is>
      </c>
      <c r="J20" s="9" t="inlineStr">
        <is>
          <t>PHL Airport</t>
        </is>
      </c>
      <c r="K20" s="9" t="n">
        <v/>
      </c>
      <c r="L20" s="9" t="n">
        <v/>
      </c>
      <c r="M20" s="9" t="n">
        <v/>
      </c>
      <c r="N20" s="9" t="n">
        <v>0</v>
      </c>
      <c r="O20" s="9" t="n">
        <v>7996981.32</v>
      </c>
      <c r="P20" s="10">
        <f>O20-N20</f>
        <v/>
      </c>
      <c r="Q20" s="9" t="inlineStr">
        <is>
          <t>true</t>
        </is>
      </c>
    </row>
    <row r="21">
      <c r="A21" s="9" t="inlineStr">
        <is>
          <t>unexplained_result_findetail_position.xlsx</t>
        </is>
      </c>
      <c r="B21" s="9" t="inlineStr">
        <is>
          <t>Drilldown</t>
        </is>
      </c>
      <c r="C21" s="9" t="inlineStr">
        <is>
          <t>Settlement</t>
        </is>
      </c>
      <c r="D21" s="9" t="inlineStr">
        <is>
          <t>new_post</t>
        </is>
      </c>
      <c r="E21" s="9" t="inlineStr">
        <is>
          <t>4773058</t>
        </is>
      </c>
      <c r="F21" s="9" t="inlineStr">
        <is>
          <t>2290358</t>
        </is>
      </c>
      <c r="G21" s="9" t="inlineStr">
        <is>
          <t>FINANCIAL</t>
        </is>
      </c>
      <c r="H21" s="9" t="inlineStr">
        <is>
          <t>SWAP</t>
        </is>
      </c>
      <c r="I21" s="9" t="inlineStr">
        <is>
          <t>Heating Degree Day</t>
        </is>
      </c>
      <c r="J21" s="9" t="inlineStr">
        <is>
          <t>PHL Airport</t>
        </is>
      </c>
      <c r="K21" s="9" t="n">
        <v/>
      </c>
      <c r="L21" s="9" t="n">
        <v/>
      </c>
      <c r="M21" s="9" t="n">
        <v/>
      </c>
      <c r="N21" s="9" t="n">
        <v>0</v>
      </c>
      <c r="O21" s="9" t="n">
        <v>7996981.32</v>
      </c>
      <c r="P21" s="10">
        <f>O21-N21</f>
        <v/>
      </c>
      <c r="Q21" s="9" t="inlineStr">
        <is>
          <t>true</t>
        </is>
      </c>
    </row>
    <row r="22">
      <c r="A22" s="9" t="inlineStr">
        <is>
          <t>unexplained_result_findetail_position.xlsx</t>
        </is>
      </c>
      <c r="B22" s="9" t="inlineStr">
        <is>
          <t>Drilldown</t>
        </is>
      </c>
      <c r="C22" s="9" t="inlineStr">
        <is>
          <t>Settlement</t>
        </is>
      </c>
      <c r="D22" s="9" t="inlineStr">
        <is>
          <t>new_post</t>
        </is>
      </c>
      <c r="E22" s="9" t="inlineStr">
        <is>
          <t>4773171</t>
        </is>
      </c>
      <c r="F22" s="9" t="inlineStr">
        <is>
          <t>2290394</t>
        </is>
      </c>
      <c r="G22" s="9" t="inlineStr">
        <is>
          <t>FINANCIAL</t>
        </is>
      </c>
      <c r="H22" s="9" t="inlineStr">
        <is>
          <t>SWAP</t>
        </is>
      </c>
      <c r="I22" s="9" t="inlineStr">
        <is>
          <t>Heating Degree Day</t>
        </is>
      </c>
      <c r="J22" s="9" t="inlineStr">
        <is>
          <t>BOS Airport</t>
        </is>
      </c>
      <c r="K22" s="9" t="n">
        <v/>
      </c>
      <c r="L22" s="9" t="n">
        <v/>
      </c>
      <c r="M22" s="9" t="n">
        <v/>
      </c>
      <c r="N22" s="9" t="n">
        <v>0</v>
      </c>
      <c r="O22" s="9" t="n">
        <v>1866793.77</v>
      </c>
      <c r="P22" s="10">
        <f>O22-N22</f>
        <v/>
      </c>
      <c r="Q22" s="9" t="inlineStr">
        <is>
          <t>true</t>
        </is>
      </c>
    </row>
    <row r="23">
      <c r="A23" s="9" t="inlineStr">
        <is>
          <t>unexplained_result_findetail_position.xlsx</t>
        </is>
      </c>
      <c r="B23" s="9" t="inlineStr">
        <is>
          <t>Drilldown</t>
        </is>
      </c>
      <c r="C23" s="9" t="inlineStr">
        <is>
          <t>Settlement</t>
        </is>
      </c>
      <c r="D23" s="9" t="inlineStr">
        <is>
          <t>new_post</t>
        </is>
      </c>
      <c r="E23" s="9" t="inlineStr">
        <is>
          <t>4773174</t>
        </is>
      </c>
      <c r="F23" s="9" t="inlineStr">
        <is>
          <t>2290395</t>
        </is>
      </c>
      <c r="G23" s="9" t="inlineStr">
        <is>
          <t>FINANCIAL</t>
        </is>
      </c>
      <c r="H23" s="9" t="inlineStr">
        <is>
          <t>SWAP</t>
        </is>
      </c>
      <c r="I23" s="9" t="inlineStr">
        <is>
          <t>Heating Degree Day</t>
        </is>
      </c>
      <c r="J23" s="9" t="inlineStr">
        <is>
          <t>BOS Airport</t>
        </is>
      </c>
      <c r="K23" s="9" t="n">
        <v/>
      </c>
      <c r="L23" s="9" t="n">
        <v/>
      </c>
      <c r="M23" s="9" t="n">
        <v/>
      </c>
      <c r="N23" s="9" t="n">
        <v>0</v>
      </c>
      <c r="O23" s="9" t="n">
        <v>7467175.07</v>
      </c>
      <c r="P23" s="10">
        <f>O23-N23</f>
        <v/>
      </c>
      <c r="Q23" s="9" t="inlineStr">
        <is>
          <t>true</t>
        </is>
      </c>
    </row>
    <row r="24">
      <c r="A24" s="9" t="inlineStr">
        <is>
          <t>unexplained_result_findetail_position.xlsx</t>
        </is>
      </c>
      <c r="B24" s="9" t="inlineStr">
        <is>
          <t>Drilldown</t>
        </is>
      </c>
      <c r="C24" s="9" t="inlineStr">
        <is>
          <t>Settlement</t>
        </is>
      </c>
      <c r="D24" s="9" t="inlineStr">
        <is>
          <t>new_post</t>
        </is>
      </c>
      <c r="E24" s="9" t="inlineStr">
        <is>
          <t>4773796</t>
        </is>
      </c>
      <c r="F24" s="9" t="inlineStr">
        <is>
          <t>2290712</t>
        </is>
      </c>
      <c r="G24" s="9" t="inlineStr">
        <is>
          <t>FINANCIAL</t>
        </is>
      </c>
      <c r="H24" s="9" t="inlineStr">
        <is>
          <t>SWAP</t>
        </is>
      </c>
      <c r="I24" s="9" t="inlineStr">
        <is>
          <t>Heating Degree Day</t>
        </is>
      </c>
      <c r="J24" s="9" t="inlineStr">
        <is>
          <t>PHL Airport</t>
        </is>
      </c>
      <c r="K24" s="9" t="n">
        <v/>
      </c>
      <c r="L24" s="9" t="n">
        <v/>
      </c>
      <c r="M24" s="9" t="n">
        <v/>
      </c>
      <c r="N24" s="9" t="n">
        <v>0</v>
      </c>
      <c r="O24" s="9" t="n">
        <v>7996981.32</v>
      </c>
      <c r="P24" s="10">
        <f>O24-N24</f>
        <v/>
      </c>
      <c r="Q24" s="9" t="inlineStr">
        <is>
          <t>true</t>
        </is>
      </c>
    </row>
    <row r="25">
      <c r="A25" s="9" t="inlineStr">
        <is>
          <t>unexplained_result_findetail_position.xlsx</t>
        </is>
      </c>
      <c r="B25" s="9" t="inlineStr">
        <is>
          <t>Drilldown</t>
        </is>
      </c>
      <c r="C25" s="9" t="inlineStr">
        <is>
          <t>Settlement</t>
        </is>
      </c>
      <c r="D25" s="9" t="inlineStr">
        <is>
          <t>new_post</t>
        </is>
      </c>
      <c r="E25" s="9" t="inlineStr">
        <is>
          <t>4773836</t>
        </is>
      </c>
      <c r="F25" s="9" t="inlineStr">
        <is>
          <t>2290755</t>
        </is>
      </c>
      <c r="G25" s="9" t="inlineStr">
        <is>
          <t>FINANCIAL</t>
        </is>
      </c>
      <c r="H25" s="9" t="inlineStr">
        <is>
          <t>SWAP</t>
        </is>
      </c>
      <c r="I25" s="9" t="inlineStr">
        <is>
          <t>Heating Degree Day</t>
        </is>
      </c>
      <c r="J25" s="9" t="inlineStr">
        <is>
          <t>PHL Airport</t>
        </is>
      </c>
      <c r="K25" s="9" t="n">
        <v/>
      </c>
      <c r="L25" s="9" t="n">
        <v/>
      </c>
      <c r="M25" s="9" t="n">
        <v/>
      </c>
      <c r="N25" s="9" t="n">
        <v>0</v>
      </c>
      <c r="O25" s="9" t="n">
        <v>7996981.32</v>
      </c>
      <c r="P25" s="10">
        <f>O25-N25</f>
        <v/>
      </c>
      <c r="Q25" s="9" t="inlineStr">
        <is>
          <t>true</t>
        </is>
      </c>
    </row>
    <row r="26">
      <c r="A26" s="9" t="inlineStr">
        <is>
          <t>unexplained_result_findetail_position.xlsx</t>
        </is>
      </c>
      <c r="B26" s="9" t="inlineStr">
        <is>
          <t>Drilldown</t>
        </is>
      </c>
      <c r="C26" s="9" t="inlineStr">
        <is>
          <t>Settlement</t>
        </is>
      </c>
      <c r="D26" s="9" t="inlineStr">
        <is>
          <t>new_post</t>
        </is>
      </c>
      <c r="E26" s="9" t="inlineStr">
        <is>
          <t>4773891</t>
        </is>
      </c>
      <c r="F26" s="9" t="inlineStr">
        <is>
          <t>2290805</t>
        </is>
      </c>
      <c r="G26" s="9" t="inlineStr">
        <is>
          <t>FINANCIAL</t>
        </is>
      </c>
      <c r="H26" s="9" t="inlineStr">
        <is>
          <t>SWAP</t>
        </is>
      </c>
      <c r="I26" s="9" t="inlineStr">
        <is>
          <t>Heating Degree Day</t>
        </is>
      </c>
      <c r="J26" s="9" t="inlineStr">
        <is>
          <t>BOS Airport</t>
        </is>
      </c>
      <c r="K26" s="9" t="n">
        <v/>
      </c>
      <c r="L26" s="9" t="n">
        <v/>
      </c>
      <c r="M26" s="9" t="n">
        <v/>
      </c>
      <c r="N26" s="9" t="n">
        <v>0</v>
      </c>
      <c r="O26" s="9" t="n">
        <v>7467175.07</v>
      </c>
      <c r="P26" s="10">
        <f>O26-N26</f>
        <v/>
      </c>
      <c r="Q26" s="9" t="inlineStr">
        <is>
          <t>true</t>
        </is>
      </c>
    </row>
    <row r="27">
      <c r="A27" s="9" t="inlineStr">
        <is>
          <t>unexplained_result_findetail_position.xlsx</t>
        </is>
      </c>
      <c r="B27" s="9" t="inlineStr">
        <is>
          <t>Drilldown</t>
        </is>
      </c>
      <c r="C27" s="9" t="inlineStr">
        <is>
          <t>Settlement</t>
        </is>
      </c>
      <c r="D27" s="9" t="inlineStr">
        <is>
          <t>new_post</t>
        </is>
      </c>
      <c r="E27" s="9" t="inlineStr">
        <is>
          <t>4773927</t>
        </is>
      </c>
      <c r="F27" s="9" t="inlineStr">
        <is>
          <t>2290843</t>
        </is>
      </c>
      <c r="G27" s="9" t="inlineStr">
        <is>
          <t>FINANCIAL</t>
        </is>
      </c>
      <c r="H27" s="9" t="inlineStr">
        <is>
          <t>SWAP</t>
        </is>
      </c>
      <c r="I27" s="9" t="inlineStr">
        <is>
          <t>Heating Degree Day</t>
        </is>
      </c>
      <c r="J27" s="9" t="inlineStr">
        <is>
          <t>BOS Airport</t>
        </is>
      </c>
      <c r="K27" s="9" t="n">
        <v/>
      </c>
      <c r="L27" s="9" t="n">
        <v/>
      </c>
      <c r="M27" s="9" t="n">
        <v/>
      </c>
      <c r="N27" s="9" t="n">
        <v>0</v>
      </c>
      <c r="O27" s="9" t="n">
        <v>7467175.07</v>
      </c>
      <c r="P27" s="10">
        <f>O27-N27</f>
        <v/>
      </c>
      <c r="Q27" s="9" t="inlineStr">
        <is>
          <t>true</t>
        </is>
      </c>
    </row>
    <row r="28">
      <c r="A28" s="9" t="inlineStr">
        <is>
          <t>unexplained_result_findetail_position.xlsx</t>
        </is>
      </c>
      <c r="B28" s="9" t="inlineStr">
        <is>
          <t>Drilldown</t>
        </is>
      </c>
      <c r="C28" s="9" t="inlineStr">
        <is>
          <t>Settlement</t>
        </is>
      </c>
      <c r="D28" s="9" t="inlineStr">
        <is>
          <t>new_post</t>
        </is>
      </c>
      <c r="E28" s="9" t="inlineStr">
        <is>
          <t>4773983</t>
        </is>
      </c>
      <c r="F28" s="9" t="inlineStr">
        <is>
          <t>2290895</t>
        </is>
      </c>
      <c r="G28" s="9" t="inlineStr">
        <is>
          <t>FINANCIAL</t>
        </is>
      </c>
      <c r="H28" s="9" t="inlineStr">
        <is>
          <t>SWAP</t>
        </is>
      </c>
      <c r="I28" s="9" t="inlineStr">
        <is>
          <t>Heating Degree Day</t>
        </is>
      </c>
      <c r="J28" s="9" t="inlineStr">
        <is>
          <t>PHL Airport</t>
        </is>
      </c>
      <c r="K28" s="9" t="n">
        <v/>
      </c>
      <c r="L28" s="9" t="n">
        <v/>
      </c>
      <c r="M28" s="9" t="n">
        <v/>
      </c>
      <c r="N28" s="9" t="n">
        <v>0</v>
      </c>
      <c r="O28" s="9" t="n">
        <v>7996981.32</v>
      </c>
      <c r="P28" s="10">
        <f>O28-N28</f>
        <v/>
      </c>
      <c r="Q28" s="9" t="inlineStr">
        <is>
          <t>true</t>
        </is>
      </c>
    </row>
    <row r="29">
      <c r="A29" s="9" t="inlineStr">
        <is>
          <t>unexplained_result_findetail_position.xlsx</t>
        </is>
      </c>
      <c r="B29" s="9" t="inlineStr">
        <is>
          <t>Drilldown</t>
        </is>
      </c>
      <c r="C29" s="9" t="inlineStr">
        <is>
          <t>Settlement</t>
        </is>
      </c>
      <c r="D29" s="9" t="inlineStr">
        <is>
          <t>new_post</t>
        </is>
      </c>
      <c r="E29" s="9" t="inlineStr">
        <is>
          <t>4774021</t>
        </is>
      </c>
      <c r="F29" s="9" t="inlineStr">
        <is>
          <t>2290934</t>
        </is>
      </c>
      <c r="G29" s="9" t="inlineStr">
        <is>
          <t>FINANCIAL</t>
        </is>
      </c>
      <c r="H29" s="9" t="inlineStr">
        <is>
          <t>SWAP</t>
        </is>
      </c>
      <c r="I29" s="9" t="inlineStr">
        <is>
          <t>Heating Degree Day</t>
        </is>
      </c>
      <c r="J29" s="9" t="inlineStr">
        <is>
          <t>PHL Airport</t>
        </is>
      </c>
      <c r="K29" s="9" t="n">
        <v/>
      </c>
      <c r="L29" s="9" t="n">
        <v/>
      </c>
      <c r="M29" s="9" t="n">
        <v/>
      </c>
      <c r="N29" s="9" t="n">
        <v>0</v>
      </c>
      <c r="O29" s="9" t="n">
        <v>7996981.32</v>
      </c>
      <c r="P29" s="10">
        <f>O29-N29</f>
        <v/>
      </c>
      <c r="Q29" s="9" t="inlineStr">
        <is>
          <t>true</t>
        </is>
      </c>
    </row>
    <row r="30">
      <c r="A30" s="9" t="inlineStr">
        <is>
          <t>unexplained_result_findetail_position.xlsx</t>
        </is>
      </c>
      <c r="B30" s="9" t="inlineStr">
        <is>
          <t>Drilldown</t>
        </is>
      </c>
      <c r="C30" s="9" t="inlineStr">
        <is>
          <t>Settlement</t>
        </is>
      </c>
      <c r="D30" s="9" t="inlineStr">
        <is>
          <t>new_post</t>
        </is>
      </c>
      <c r="E30" s="9" t="inlineStr">
        <is>
          <t>4776904</t>
        </is>
      </c>
      <c r="F30" s="9" t="inlineStr">
        <is>
          <t>2291827</t>
        </is>
      </c>
      <c r="G30" s="9" t="inlineStr">
        <is>
          <t>FINANCIAL</t>
        </is>
      </c>
      <c r="H30" s="9" t="inlineStr">
        <is>
          <t>SWAP</t>
        </is>
      </c>
      <c r="I30" s="9" t="inlineStr">
        <is>
          <t>Heating Degree Day</t>
        </is>
      </c>
      <c r="J30" s="9" t="inlineStr">
        <is>
          <t>Cincinatti Airport</t>
        </is>
      </c>
      <c r="K30" s="9" t="n">
        <v/>
      </c>
      <c r="L30" s="9" t="n">
        <v/>
      </c>
      <c r="M30" s="9" t="n">
        <v/>
      </c>
      <c r="N30" s="9" t="n">
        <v>0</v>
      </c>
      <c r="O30" s="9" t="n">
        <v>8136666.58</v>
      </c>
      <c r="P30" s="10">
        <f>O30-N30</f>
        <v/>
      </c>
      <c r="Q30" s="9" t="inlineStr">
        <is>
          <t>true</t>
        </is>
      </c>
    </row>
    <row r="31">
      <c r="A31" s="9" t="inlineStr">
        <is>
          <t>unexplained_result_findetail_position.xlsx</t>
        </is>
      </c>
      <c r="B31" s="9" t="inlineStr">
        <is>
          <t>Drilldown</t>
        </is>
      </c>
      <c r="C31" s="9" t="inlineStr">
        <is>
          <t>Settlement</t>
        </is>
      </c>
      <c r="D31" s="9" t="inlineStr">
        <is>
          <t>new_post</t>
        </is>
      </c>
      <c r="E31" s="9" t="inlineStr">
        <is>
          <t>4776914</t>
        </is>
      </c>
      <c r="F31" s="9" t="inlineStr">
        <is>
          <t>2291832</t>
        </is>
      </c>
      <c r="G31" s="9" t="inlineStr">
        <is>
          <t>FINANCIAL</t>
        </is>
      </c>
      <c r="H31" s="9" t="inlineStr">
        <is>
          <t>SWAP</t>
        </is>
      </c>
      <c r="I31" s="9" t="inlineStr">
        <is>
          <t>Heating Degree Day</t>
        </is>
      </c>
      <c r="J31" s="9" t="inlineStr">
        <is>
          <t>Cincinatti Airport</t>
        </is>
      </c>
      <c r="K31" s="9" t="n">
        <v/>
      </c>
      <c r="L31" s="9" t="n">
        <v/>
      </c>
      <c r="M31" s="9" t="n">
        <v/>
      </c>
      <c r="N31" s="9" t="n">
        <v>0</v>
      </c>
      <c r="O31" s="9" t="n">
        <v>4068333.29</v>
      </c>
      <c r="P31" s="10">
        <f>O31-N31</f>
        <v/>
      </c>
      <c r="Q31" s="9" t="inlineStr">
        <is>
          <t>true</t>
        </is>
      </c>
    </row>
    <row r="32">
      <c r="A32" s="9" t="inlineStr">
        <is>
          <t>unexplained_result_findetail_position.xlsx</t>
        </is>
      </c>
      <c r="B32" s="9" t="inlineStr">
        <is>
          <t>Drilldown</t>
        </is>
      </c>
      <c r="C32" s="9" t="inlineStr">
        <is>
          <t>Settlement</t>
        </is>
      </c>
      <c r="D32" s="9" t="inlineStr">
        <is>
          <t>new_post</t>
        </is>
      </c>
      <c r="E32" s="9" t="inlineStr">
        <is>
          <t>4776920</t>
        </is>
      </c>
      <c r="F32" s="9" t="inlineStr">
        <is>
          <t>2291836</t>
        </is>
      </c>
      <c r="G32" s="9" t="inlineStr">
        <is>
          <t>FINANCIAL</t>
        </is>
      </c>
      <c r="H32" s="9" t="inlineStr">
        <is>
          <t>SWAP</t>
        </is>
      </c>
      <c r="I32" s="9" t="inlineStr">
        <is>
          <t>Heating Degree Day</t>
        </is>
      </c>
      <c r="J32" s="9" t="inlineStr">
        <is>
          <t>Cincinatti Airport</t>
        </is>
      </c>
      <c r="K32" s="9" t="n">
        <v/>
      </c>
      <c r="L32" s="9" t="n">
        <v/>
      </c>
      <c r="M32" s="9" t="n">
        <v/>
      </c>
      <c r="N32" s="9" t="n">
        <v>0</v>
      </c>
      <c r="O32" s="9" t="n">
        <v>4068333.29</v>
      </c>
      <c r="P32" s="10">
        <f>O32-N32</f>
        <v/>
      </c>
      <c r="Q32" s="9" t="inlineStr">
        <is>
          <t>true</t>
        </is>
      </c>
    </row>
    <row r="33">
      <c r="A33" s="9" t="inlineStr">
        <is>
          <t>unexplained_result_findetail_position.xlsx</t>
        </is>
      </c>
      <c r="B33" s="9" t="inlineStr">
        <is>
          <t>Drilldown</t>
        </is>
      </c>
      <c r="C33" s="9" t="inlineStr">
        <is>
          <t>Settlement</t>
        </is>
      </c>
      <c r="D33" s="9" t="inlineStr">
        <is>
          <t>new_post</t>
        </is>
      </c>
      <c r="E33" s="9" t="inlineStr">
        <is>
          <t>4778254</t>
        </is>
      </c>
      <c r="F33" s="9" t="inlineStr">
        <is>
          <t>2292072</t>
        </is>
      </c>
      <c r="G33" s="9" t="inlineStr">
        <is>
          <t>FINANCIAL</t>
        </is>
      </c>
      <c r="H33" s="9" t="inlineStr">
        <is>
          <t>SWAP</t>
        </is>
      </c>
      <c r="I33" s="9" t="inlineStr">
        <is>
          <t>Heating Degree Day</t>
        </is>
      </c>
      <c r="J33" s="9" t="inlineStr">
        <is>
          <t>Cincinatti Airport</t>
        </is>
      </c>
      <c r="K33" s="9" t="n">
        <v/>
      </c>
      <c r="L33" s="9" t="n">
        <v/>
      </c>
      <c r="M33" s="9" t="n">
        <v/>
      </c>
      <c r="N33" s="9" t="n">
        <v>0</v>
      </c>
      <c r="O33" s="9" t="n">
        <v>4068333.29</v>
      </c>
      <c r="P33" s="10">
        <f>O33-N33</f>
        <v/>
      </c>
      <c r="Q33" s="9" t="inlineStr">
        <is>
          <t>true</t>
        </is>
      </c>
    </row>
    <row r="34">
      <c r="A34" s="9" t="inlineStr">
        <is>
          <t>unexplained_result_findetail_position.xlsx</t>
        </is>
      </c>
      <c r="B34" s="9" t="inlineStr">
        <is>
          <t>Drilldown</t>
        </is>
      </c>
      <c r="C34" s="9" t="inlineStr">
        <is>
          <t>Settlement</t>
        </is>
      </c>
      <c r="D34" s="9" t="inlineStr">
        <is>
          <t>new_post</t>
        </is>
      </c>
      <c r="E34" s="9" t="inlineStr">
        <is>
          <t>4778271</t>
        </is>
      </c>
      <c r="F34" s="9" t="inlineStr">
        <is>
          <t>2292081</t>
        </is>
      </c>
      <c r="G34" s="9" t="inlineStr">
        <is>
          <t>FINANCIAL</t>
        </is>
      </c>
      <c r="H34" s="9" t="inlineStr">
        <is>
          <t>SWAP</t>
        </is>
      </c>
      <c r="I34" s="9" t="inlineStr">
        <is>
          <t>Heating Degree Day</t>
        </is>
      </c>
      <c r="J34" s="9" t="inlineStr">
        <is>
          <t>Cincinatti Airport</t>
        </is>
      </c>
      <c r="K34" s="9" t="n">
        <v/>
      </c>
      <c r="L34" s="9" t="n">
        <v/>
      </c>
      <c r="M34" s="9" t="n">
        <v/>
      </c>
      <c r="N34" s="9" t="n">
        <v>0</v>
      </c>
      <c r="O34" s="9" t="n">
        <v>8136666.58</v>
      </c>
      <c r="P34" s="10">
        <f>O34-N34</f>
        <v/>
      </c>
      <c r="Q34" s="9" t="inlineStr">
        <is>
          <t>true</t>
        </is>
      </c>
    </row>
    <row r="35">
      <c r="A35" s="9" t="inlineStr">
        <is>
          <t>unexplained_result_findetail_position.xlsx</t>
        </is>
      </c>
      <c r="B35" s="9" t="inlineStr">
        <is>
          <t>Drilldown</t>
        </is>
      </c>
      <c r="C35" s="9" t="inlineStr">
        <is>
          <t>Settlement</t>
        </is>
      </c>
      <c r="D35" s="9" t="inlineStr">
        <is>
          <t>new_post</t>
        </is>
      </c>
      <c r="E35" s="9" t="inlineStr">
        <is>
          <t>4778272</t>
        </is>
      </c>
      <c r="F35" s="9" t="inlineStr">
        <is>
          <t>2292080</t>
        </is>
      </c>
      <c r="G35" s="9" t="inlineStr">
        <is>
          <t>FINANCIAL</t>
        </is>
      </c>
      <c r="H35" s="9" t="inlineStr">
        <is>
          <t>SWAP</t>
        </is>
      </c>
      <c r="I35" s="9" t="inlineStr">
        <is>
          <t>Heating Degree Day</t>
        </is>
      </c>
      <c r="J35" s="9" t="inlineStr">
        <is>
          <t>Cincinatti Airport</t>
        </is>
      </c>
      <c r="K35" s="9" t="n">
        <v/>
      </c>
      <c r="L35" s="9" t="n">
        <v/>
      </c>
      <c r="M35" s="9" t="n">
        <v/>
      </c>
      <c r="N35" s="9" t="n">
        <v>0</v>
      </c>
      <c r="O35" s="9" t="n">
        <v>4068333.29</v>
      </c>
      <c r="P35" s="10">
        <f>O35-N35</f>
        <v/>
      </c>
      <c r="Q35" s="9" t="inlineStr">
        <is>
          <t>true</t>
        </is>
      </c>
    </row>
    <row r="36">
      <c r="A36" s="9" t="inlineStr">
        <is>
          <t>unexplained_result_findetail_position.xlsx</t>
        </is>
      </c>
      <c r="B36" s="9" t="inlineStr">
        <is>
          <t>Drilldown</t>
        </is>
      </c>
      <c r="C36" s="9" t="inlineStr">
        <is>
          <t>Settlement</t>
        </is>
      </c>
      <c r="D36" s="9" t="inlineStr">
        <is>
          <t>new_post</t>
        </is>
      </c>
      <c r="E36" s="9" t="inlineStr">
        <is>
          <t>4778279</t>
        </is>
      </c>
      <c r="F36" s="9" t="inlineStr">
        <is>
          <t>2292084</t>
        </is>
      </c>
      <c r="G36" s="9" t="inlineStr">
        <is>
          <t>FINANCIAL</t>
        </is>
      </c>
      <c r="H36" s="9" t="inlineStr">
        <is>
          <t>SWAP</t>
        </is>
      </c>
      <c r="I36" s="9" t="inlineStr">
        <is>
          <t>Heating Degree Day</t>
        </is>
      </c>
      <c r="J36" s="9" t="inlineStr">
        <is>
          <t>Cincinatti Airport</t>
        </is>
      </c>
      <c r="K36" s="9" t="n">
        <v/>
      </c>
      <c r="L36" s="9" t="n">
        <v/>
      </c>
      <c r="M36" s="9" t="n">
        <v/>
      </c>
      <c r="N36" s="9" t="n">
        <v>0</v>
      </c>
      <c r="O36" s="9" t="n">
        <v>4068333.29</v>
      </c>
      <c r="P36" s="10">
        <f>O36-N36</f>
        <v/>
      </c>
      <c r="Q36" s="9" t="inlineStr">
        <is>
          <t>true</t>
        </is>
      </c>
    </row>
    <row r="37">
      <c r="A37" s="9" t="inlineStr">
        <is>
          <t>unexplained_result_findetail_position.xlsx</t>
        </is>
      </c>
      <c r="B37" s="9" t="inlineStr">
        <is>
          <t>Drilldown</t>
        </is>
      </c>
      <c r="C37" s="9" t="inlineStr">
        <is>
          <t>Settlement</t>
        </is>
      </c>
      <c r="D37" s="9" t="inlineStr">
        <is>
          <t>new_post</t>
        </is>
      </c>
      <c r="E37" s="9" t="inlineStr">
        <is>
          <t>4778295</t>
        </is>
      </c>
      <c r="F37" s="9" t="inlineStr">
        <is>
          <t>2292093</t>
        </is>
      </c>
      <c r="G37" s="9" t="inlineStr">
        <is>
          <t>FINANCIAL</t>
        </is>
      </c>
      <c r="H37" s="9" t="inlineStr">
        <is>
          <t>SWAP</t>
        </is>
      </c>
      <c r="I37" s="9" t="inlineStr">
        <is>
          <t>Heating Degree Day</t>
        </is>
      </c>
      <c r="J37" s="9" t="inlineStr">
        <is>
          <t>Cincinatti Airport</t>
        </is>
      </c>
      <c r="K37" s="9" t="n">
        <v/>
      </c>
      <c r="L37" s="9" t="n">
        <v/>
      </c>
      <c r="M37" s="9" t="n">
        <v/>
      </c>
      <c r="N37" s="9" t="n">
        <v>0</v>
      </c>
      <c r="O37" s="9" t="n">
        <v>4068333.29</v>
      </c>
      <c r="P37" s="10">
        <f>O37-N37</f>
        <v/>
      </c>
      <c r="Q37" s="9" t="inlineStr">
        <is>
          <t>true</t>
        </is>
      </c>
    </row>
    <row r="38">
      <c r="A38" s="9" t="inlineStr">
        <is>
          <t>unexplained_result_findetail_position.xlsx</t>
        </is>
      </c>
      <c r="B38" s="9" t="inlineStr">
        <is>
          <t>Drilldown</t>
        </is>
      </c>
      <c r="C38" s="9" t="inlineStr">
        <is>
          <t>Settlement</t>
        </is>
      </c>
      <c r="D38" s="9" t="inlineStr">
        <is>
          <t>new_post</t>
        </is>
      </c>
      <c r="E38" s="9" t="inlineStr">
        <is>
          <t>4778297</t>
        </is>
      </c>
      <c r="F38" s="9" t="inlineStr">
        <is>
          <t>2292092</t>
        </is>
      </c>
      <c r="G38" s="9" t="inlineStr">
        <is>
          <t>FINANCIAL</t>
        </is>
      </c>
      <c r="H38" s="9" t="inlineStr">
        <is>
          <t>SWAP</t>
        </is>
      </c>
      <c r="I38" s="9" t="inlineStr">
        <is>
          <t>Heating Degree Day</t>
        </is>
      </c>
      <c r="J38" s="9" t="inlineStr">
        <is>
          <t>Cincinatti Airport</t>
        </is>
      </c>
      <c r="K38" s="9" t="n">
        <v/>
      </c>
      <c r="L38" s="9" t="n">
        <v/>
      </c>
      <c r="M38" s="9" t="n">
        <v/>
      </c>
      <c r="N38" s="9" t="n">
        <v>0</v>
      </c>
      <c r="O38" s="9" t="n">
        <v>8136666.58</v>
      </c>
      <c r="P38" s="10">
        <f>O38-N38</f>
        <v/>
      </c>
      <c r="Q38" s="9" t="inlineStr">
        <is>
          <t>true</t>
        </is>
      </c>
    </row>
    <row r="39">
      <c r="A39" s="9" t="inlineStr">
        <is>
          <t>unexplained_result_findetail_position.xlsx</t>
        </is>
      </c>
      <c r="B39" s="9" t="inlineStr">
        <is>
          <t>Drilldown</t>
        </is>
      </c>
      <c r="C39" s="9" t="inlineStr">
        <is>
          <t>Settlement</t>
        </is>
      </c>
      <c r="D39" s="9" t="inlineStr">
        <is>
          <t>new_post</t>
        </is>
      </c>
      <c r="E39" s="9" t="inlineStr">
        <is>
          <t>4861605</t>
        </is>
      </c>
      <c r="F39" s="9" t="inlineStr">
        <is>
          <t>2320121</t>
        </is>
      </c>
      <c r="G39" s="9" t="inlineStr">
        <is>
          <t>FINANCIAL</t>
        </is>
      </c>
      <c r="H39" s="9" t="inlineStr">
        <is>
          <t>SWAP</t>
        </is>
      </c>
      <c r="I39" s="9" t="inlineStr">
        <is>
          <t>Heating Degree Day</t>
        </is>
      </c>
      <c r="J39" s="9" t="inlineStr">
        <is>
          <t>Cincinatti Airport</t>
        </is>
      </c>
      <c r="K39" s="9" t="n">
        <v/>
      </c>
      <c r="L39" s="9" t="n">
        <v/>
      </c>
      <c r="M39" s="9" t="n">
        <v/>
      </c>
      <c r="N39" s="9" t="n">
        <v>0</v>
      </c>
      <c r="O39" s="9" t="n">
        <v>13130414.74</v>
      </c>
      <c r="P39" s="10">
        <f>O39-N39</f>
        <v/>
      </c>
      <c r="Q39" s="9" t="inlineStr">
        <is>
          <t>true</t>
        </is>
      </c>
    </row>
    <row r="40">
      <c r="A40" s="9" t="inlineStr">
        <is>
          <t>unexplained_result_findetail_position.xlsx</t>
        </is>
      </c>
      <c r="B40" s="9" t="inlineStr">
        <is>
          <t>Drilldown</t>
        </is>
      </c>
      <c r="C40" s="9" t="inlineStr">
        <is>
          <t>Settlement</t>
        </is>
      </c>
      <c r="D40" s="9" t="inlineStr">
        <is>
          <t>new_post</t>
        </is>
      </c>
      <c r="E40" s="9" t="inlineStr">
        <is>
          <t>4861624</t>
        </is>
      </c>
      <c r="F40" s="9" t="inlineStr">
        <is>
          <t>2320140</t>
        </is>
      </c>
      <c r="G40" s="9" t="inlineStr">
        <is>
          <t>FINANCIAL</t>
        </is>
      </c>
      <c r="H40" s="9" t="inlineStr">
        <is>
          <t>SWAP</t>
        </is>
      </c>
      <c r="I40" s="9" t="inlineStr">
        <is>
          <t>Heating Degree Day</t>
        </is>
      </c>
      <c r="J40" s="9" t="inlineStr">
        <is>
          <t>Cincinatti Airport</t>
        </is>
      </c>
      <c r="K40" s="9" t="n">
        <v/>
      </c>
      <c r="L40" s="9" t="n">
        <v/>
      </c>
      <c r="M40" s="9" t="n">
        <v/>
      </c>
      <c r="N40" s="9" t="n">
        <v>0</v>
      </c>
      <c r="O40" s="9" t="n">
        <v>3282603.69</v>
      </c>
      <c r="P40" s="10">
        <f>O40-N40</f>
        <v/>
      </c>
      <c r="Q40" s="9" t="inlineStr">
        <is>
          <t>true</t>
        </is>
      </c>
    </row>
    <row r="41">
      <c r="A41" s="9" t="inlineStr">
        <is>
          <t>unexplained_result_findetail_position.xlsx</t>
        </is>
      </c>
      <c r="B41" s="9" t="inlineStr">
        <is>
          <t>Drilldown</t>
        </is>
      </c>
      <c r="C41" s="9" t="inlineStr">
        <is>
          <t>Settlement</t>
        </is>
      </c>
      <c r="D41" s="9" t="inlineStr">
        <is>
          <t>new_post</t>
        </is>
      </c>
      <c r="E41" s="9" t="inlineStr">
        <is>
          <t>4863095</t>
        </is>
      </c>
      <c r="F41" s="9" t="inlineStr">
        <is>
          <t>2320256</t>
        </is>
      </c>
      <c r="G41" s="9" t="inlineStr">
        <is>
          <t>FINANCIAL</t>
        </is>
      </c>
      <c r="H41" s="9" t="inlineStr">
        <is>
          <t>SWAP</t>
        </is>
      </c>
      <c r="I41" s="9" t="inlineStr">
        <is>
          <t>Heating Degree Day</t>
        </is>
      </c>
      <c r="J41" s="9" t="inlineStr">
        <is>
          <t>Cincinatti Airport</t>
        </is>
      </c>
      <c r="K41" s="9" t="n">
        <v/>
      </c>
      <c r="L41" s="9" t="n">
        <v/>
      </c>
      <c r="M41" s="9" t="n">
        <v/>
      </c>
      <c r="N41" s="9" t="n">
        <v>0</v>
      </c>
      <c r="O41" s="9" t="n">
        <v>3282603.69</v>
      </c>
      <c r="P41" s="10">
        <f>O41-N41</f>
        <v/>
      </c>
      <c r="Q41" s="9" t="inlineStr">
        <is>
          <t>true</t>
        </is>
      </c>
    </row>
    <row r="42">
      <c r="A42" s="9" t="inlineStr">
        <is>
          <t>unexplained_result_findetail_position.xlsx</t>
        </is>
      </c>
      <c r="B42" s="9" t="inlineStr">
        <is>
          <t>Drilldown</t>
        </is>
      </c>
      <c r="C42" s="9" t="inlineStr">
        <is>
          <t>Settlement</t>
        </is>
      </c>
      <c r="D42" s="9" t="inlineStr">
        <is>
          <t>new_post</t>
        </is>
      </c>
      <c r="E42" s="9" t="inlineStr">
        <is>
          <t>4863103</t>
        </is>
      </c>
      <c r="F42" s="9" t="inlineStr">
        <is>
          <t>2320264</t>
        </is>
      </c>
      <c r="G42" s="9" t="inlineStr">
        <is>
          <t>FINANCIAL</t>
        </is>
      </c>
      <c r="H42" s="9" t="inlineStr">
        <is>
          <t>SWAP</t>
        </is>
      </c>
      <c r="I42" s="9" t="inlineStr">
        <is>
          <t>Heating Degree Day</t>
        </is>
      </c>
      <c r="J42" s="9" t="inlineStr">
        <is>
          <t>Cincinatti Airport</t>
        </is>
      </c>
      <c r="K42" s="9" t="n">
        <v/>
      </c>
      <c r="L42" s="9" t="n">
        <v/>
      </c>
      <c r="M42" s="9" t="n">
        <v/>
      </c>
      <c r="N42" s="9" t="n">
        <v>0</v>
      </c>
      <c r="O42" s="9" t="n">
        <v>13130414.74</v>
      </c>
      <c r="P42" s="10">
        <f>O42-N42</f>
        <v/>
      </c>
      <c r="Q42" s="9" t="inlineStr">
        <is>
          <t>true</t>
        </is>
      </c>
    </row>
    <row r="43">
      <c r="A43" s="9" t="inlineStr">
        <is>
          <t>unexplained_result_findetail_position.xlsx</t>
        </is>
      </c>
      <c r="B43" s="9" t="inlineStr">
        <is>
          <t>Drilldown</t>
        </is>
      </c>
      <c r="C43" s="9" t="inlineStr">
        <is>
          <t>Settlement</t>
        </is>
      </c>
      <c r="D43" s="9" t="inlineStr">
        <is>
          <t>new_post</t>
        </is>
      </c>
      <c r="E43" s="9" t="inlineStr">
        <is>
          <t>4863110</t>
        </is>
      </c>
      <c r="F43" s="9" t="inlineStr">
        <is>
          <t>2320271</t>
        </is>
      </c>
      <c r="G43" s="9" t="inlineStr">
        <is>
          <t>FINANCIAL</t>
        </is>
      </c>
      <c r="H43" s="9" t="inlineStr">
        <is>
          <t>SWAP</t>
        </is>
      </c>
      <c r="I43" s="9" t="inlineStr">
        <is>
          <t>Heating Degree Day</t>
        </is>
      </c>
      <c r="J43" s="9" t="inlineStr">
        <is>
          <t>Cincinatti Airport</t>
        </is>
      </c>
      <c r="K43" s="9" t="n">
        <v/>
      </c>
      <c r="L43" s="9" t="n">
        <v/>
      </c>
      <c r="M43" s="9" t="n">
        <v/>
      </c>
      <c r="N43" s="9" t="n">
        <v>0</v>
      </c>
      <c r="O43" s="9" t="n">
        <v>3282603.69</v>
      </c>
      <c r="P43" s="10">
        <f>O43-N43</f>
        <v/>
      </c>
      <c r="Q43" s="9" t="inlineStr">
        <is>
          <t>true</t>
        </is>
      </c>
    </row>
    <row r="44">
      <c r="A44" s="9" t="inlineStr">
        <is>
          <t>unexplained_result_findetail_position.xlsx</t>
        </is>
      </c>
      <c r="B44" s="9" t="inlineStr">
        <is>
          <t>Drilldown</t>
        </is>
      </c>
      <c r="C44" s="9" t="inlineStr">
        <is>
          <t>Settlement</t>
        </is>
      </c>
      <c r="D44" s="9" t="inlineStr">
        <is>
          <t>new_post</t>
        </is>
      </c>
      <c r="E44" s="9" t="inlineStr">
        <is>
          <t>4863114</t>
        </is>
      </c>
      <c r="F44" s="9" t="inlineStr">
        <is>
          <t>2320275</t>
        </is>
      </c>
      <c r="G44" s="9" t="inlineStr">
        <is>
          <t>FINANCIAL</t>
        </is>
      </c>
      <c r="H44" s="9" t="inlineStr">
        <is>
          <t>SWAP</t>
        </is>
      </c>
      <c r="I44" s="9" t="inlineStr">
        <is>
          <t>Heating Degree Day</t>
        </is>
      </c>
      <c r="J44" s="9" t="inlineStr">
        <is>
          <t>Cincinatti Airport</t>
        </is>
      </c>
      <c r="K44" s="9" t="n">
        <v/>
      </c>
      <c r="L44" s="9" t="n">
        <v/>
      </c>
      <c r="M44" s="9" t="n">
        <v/>
      </c>
      <c r="N44" s="9" t="n">
        <v>0</v>
      </c>
      <c r="O44" s="9" t="n">
        <v>13130414.74</v>
      </c>
      <c r="P44" s="10">
        <f>O44-N44</f>
        <v/>
      </c>
      <c r="Q44" s="9" t="inlineStr">
        <is>
          <t>true</t>
        </is>
      </c>
    </row>
    <row r="45">
      <c r="A45" s="8" t="inlineStr">
        <is>
          <t>ISSUE - Missing position (post)  (1 rows)</t>
        </is>
      </c>
    </row>
    <row r="46">
      <c r="A46" s="11" t="inlineStr">
        <is>
          <t>unexplained_result_findetail_position.xlsx</t>
        </is>
      </c>
      <c r="B46" s="11" t="inlineStr">
        <is>
          <t>Drilldown</t>
        </is>
      </c>
      <c r="C46" s="11" t="inlineStr">
        <is>
          <t>Settlement</t>
        </is>
      </c>
      <c r="D46" s="11" t="inlineStr">
        <is>
          <t>missing_post</t>
        </is>
      </c>
      <c r="E46" s="11" t="n">
        <v>3247645</v>
      </c>
      <c r="F46" s="11" t="inlineStr">
        <is>
          <t>1787963</t>
        </is>
      </c>
      <c r="G46" s="11" t="inlineStr">
        <is>
          <t>PHYSICAL</t>
        </is>
      </c>
      <c r="H46" s="11" t="inlineStr">
        <is>
          <t>BUY</t>
        </is>
      </c>
      <c r="I46" s="11" t="inlineStr">
        <is>
          <t>Natural Gas</t>
        </is>
      </c>
      <c r="J46" s="11" t="inlineStr">
        <is>
          <t>Houston Ship Channel</t>
        </is>
      </c>
      <c r="K46" s="11" t="n">
        <v/>
      </c>
      <c r="L46" s="11" t="n">
        <v/>
      </c>
      <c r="M46" s="11" t="n">
        <v/>
      </c>
      <c r="N46" s="11" t="n">
        <v>0</v>
      </c>
      <c r="O46" s="11" t="n">
        <v>0</v>
      </c>
      <c r="P46" s="12">
        <f>O46-N46</f>
        <v/>
      </c>
      <c r="Q46" s="11" t="inlineStr">
        <is>
          <t>true</t>
        </is>
      </c>
    </row>
    <row r="47">
      <c r="A47" s="8" t="inlineStr">
        <is>
          <t>FALSE - no issue  (3 rows)</t>
        </is>
      </c>
    </row>
    <row r="48">
      <c r="A48" s="13" t="inlineStr">
        <is>
          <t>unexplained_result_findetail_position.xlsx</t>
        </is>
      </c>
      <c r="B48" s="13" t="inlineStr">
        <is>
          <t>Drilldown</t>
        </is>
      </c>
      <c r="C48" s="13" t="inlineStr">
        <is>
          <t>Settlement</t>
        </is>
      </c>
      <c r="D48" s="13" t="inlineStr">
        <is>
          <t>mismatch</t>
        </is>
      </c>
      <c r="E48" s="13" t="n">
        <v>1248020</v>
      </c>
      <c r="F48" s="13" t="inlineStr">
        <is>
          <t>1083565</t>
        </is>
      </c>
      <c r="G48" s="13" t="inlineStr">
        <is>
          <t>PHYSICAL</t>
        </is>
      </c>
      <c r="H48" s="13" t="inlineStr">
        <is>
          <t>BUY</t>
        </is>
      </c>
      <c r="I48" s="13" t="inlineStr">
        <is>
          <t>Gas Storage</t>
        </is>
      </c>
      <c r="J48" s="13" t="inlineStr">
        <is>
          <t>Chicago City Gates</t>
        </is>
      </c>
      <c r="K48" s="13" t="n">
        <v/>
      </c>
      <c r="L48" s="13" t="n">
        <v/>
      </c>
      <c r="M48" s="13" t="n">
        <v/>
      </c>
      <c r="N48" s="13" t="n">
        <v>6.74</v>
      </c>
      <c r="O48" s="13" t="n">
        <v>6.74</v>
      </c>
      <c r="P48" s="14">
        <f>O48-N48</f>
        <v/>
      </c>
      <c r="Q48" s="13" t="inlineStr">
        <is>
          <t>false</t>
        </is>
      </c>
    </row>
    <row r="49">
      <c r="A49" s="13" t="inlineStr">
        <is>
          <t>unexplained_result_findetail_position.xlsx</t>
        </is>
      </c>
      <c r="B49" s="13" t="inlineStr">
        <is>
          <t>Drilldown</t>
        </is>
      </c>
      <c r="C49" s="13" t="inlineStr">
        <is>
          <t>Settlement</t>
        </is>
      </c>
      <c r="D49" s="13" t="inlineStr">
        <is>
          <t>mismatch</t>
        </is>
      </c>
      <c r="E49" s="13" t="n">
        <v>2706967</v>
      </c>
      <c r="F49" s="13" t="inlineStr">
        <is>
          <t>1634623</t>
        </is>
      </c>
      <c r="G49" s="13" t="inlineStr">
        <is>
          <t>PHYSICAL</t>
        </is>
      </c>
      <c r="H49" s="13" t="inlineStr">
        <is>
          <t>BUY</t>
        </is>
      </c>
      <c r="I49" s="13" t="inlineStr">
        <is>
          <t>Gas Storage</t>
        </is>
      </c>
      <c r="J49" s="13" t="inlineStr">
        <is>
          <t>Worsham Storage</t>
        </is>
      </c>
      <c r="K49" s="13" t="n">
        <v/>
      </c>
      <c r="L49" s="13" t="n">
        <v/>
      </c>
      <c r="M49" s="13" t="n">
        <v/>
      </c>
      <c r="N49" s="13" t="n">
        <v>0</v>
      </c>
      <c r="O49" s="13" t="n">
        <v>0</v>
      </c>
      <c r="P49" s="14">
        <f>O49-N49</f>
        <v/>
      </c>
      <c r="Q49" s="13" t="inlineStr">
        <is>
          <t>false</t>
        </is>
      </c>
    </row>
    <row r="50">
      <c r="A50" s="13" t="inlineStr">
        <is>
          <t>unexplained_result_findetail_position.xlsx</t>
        </is>
      </c>
      <c r="B50" s="13" t="inlineStr">
        <is>
          <t>Drilldown</t>
        </is>
      </c>
      <c r="C50" s="13" t="inlineStr">
        <is>
          <t>Settlement</t>
        </is>
      </c>
      <c r="D50" s="13" t="inlineStr">
        <is>
          <t>mismatch</t>
        </is>
      </c>
      <c r="E50" s="13" t="n">
        <v>3718624</v>
      </c>
      <c r="F50" s="13" t="inlineStr">
        <is>
          <t>1953951</t>
        </is>
      </c>
      <c r="G50" s="13" t="inlineStr">
        <is>
          <t>PHYSICAL</t>
        </is>
      </c>
      <c r="H50" s="13" t="inlineStr">
        <is>
          <t>BUY</t>
        </is>
      </c>
      <c r="I50" s="13" t="inlineStr">
        <is>
          <t>REC Texas</t>
        </is>
      </c>
      <c r="J50" s="13" t="inlineStr">
        <is>
          <t>REC V2026</t>
        </is>
      </c>
      <c r="K50" s="13" t="n">
        <v/>
      </c>
      <c r="L50" s="13" t="n">
        <v/>
      </c>
      <c r="M50" s="13" t="n">
        <v/>
      </c>
      <c r="N50" s="13" t="n">
        <v>0</v>
      </c>
      <c r="O50" s="13" t="n">
        <v>0</v>
      </c>
      <c r="P50" s="14">
        <f>O50-N50</f>
        <v/>
      </c>
      <c r="Q50" s="13" t="inlineStr">
        <is>
          <t>false</t>
        </is>
      </c>
    </row>
  </sheetData>
  <mergeCells count="4">
    <mergeCell ref="A45:Q45"/>
    <mergeCell ref="A47:Q47"/>
    <mergeCell ref="A5:Q5"/>
    <mergeCell ref="A9:Q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50"/>
  <sheetViews>
    <sheetView showGridLines="0" workbookViewId="0">
      <pane ySplit="3" topLeftCell="A4" activePane="bottomLeft" state="frozen"/>
      <selection pane="bottomLeft"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6" customWidth="1" min="14" max="14"/>
    <col width="16" customWidth="1" min="15" max="15"/>
    <col width="16" customWidth="1" min="16" max="16"/>
    <col width="10" customWidth="1" min="17" max="17"/>
  </cols>
  <sheetData>
    <row r="1">
      <c r="A1" s="1" t="inlineStr">
        <is>
          <t>Triage: pricequantitysum_mismatch</t>
        </is>
      </c>
    </row>
    <row r="2">
      <c r="A2" s="2" t="inlineStr">
        <is>
          <t>Rows grouped by mismatch type (each is a distinct issue), then FALSE (no issue).</t>
        </is>
      </c>
    </row>
    <row r="4">
      <c r="A4" s="3" t="inlineStr">
        <is>
          <t>source_file</t>
        </is>
      </c>
      <c r="B4" s="3" t="inlineStr">
        <is>
          <t>sheet_name</t>
        </is>
      </c>
      <c r="C4" s="3" t="inlineStr">
        <is>
          <t>process_type</t>
        </is>
      </c>
      <c r="D4" s="3" t="inlineStr">
        <is>
          <t>mismatchtype</t>
        </is>
      </c>
      <c r="E4" s="3" t="inlineStr">
        <is>
          <t>position</t>
        </is>
      </c>
      <c r="F4" s="3" t="inlineStr">
        <is>
          <t>trade</t>
        </is>
      </c>
      <c r="G4" s="3" t="inlineStr">
        <is>
          <t>positionmode</t>
        </is>
      </c>
      <c r="H4" s="3" t="inlineStr">
        <is>
          <t>positiontype</t>
        </is>
      </c>
      <c r="I4" s="3" t="inlineStr">
        <is>
          <t>product</t>
        </is>
      </c>
      <c r="J4" s="3" t="inlineStr">
        <is>
          <t>marketarea</t>
        </is>
      </c>
      <c r="K4" s="3" t="inlineStr">
        <is>
          <t>var_category</t>
        </is>
      </c>
      <c r="L4" s="3" t="inlineStr">
        <is>
          <t>var_id</t>
        </is>
      </c>
      <c r="M4" s="3" t="inlineStr">
        <is>
          <t>comments</t>
        </is>
      </c>
      <c r="N4" s="3" t="inlineStr">
        <is>
          <t>pre_pricequantitysum</t>
        </is>
      </c>
      <c r="O4" s="3" t="inlineStr">
        <is>
          <t>post_pricequantitysum</t>
        </is>
      </c>
      <c r="P4" s="3" t="inlineStr">
        <is>
          <t>difference (post - pre)</t>
        </is>
      </c>
      <c r="Q4" s="3" t="inlineStr">
        <is>
          <t>pricequantitysum_mismatch</t>
        </is>
      </c>
    </row>
    <row r="5">
      <c r="A5" s="8" t="inlineStr">
        <is>
          <t>ISSUE - Mismatch  (3 rows)</t>
        </is>
      </c>
    </row>
    <row r="6">
      <c r="A6" s="15" t="inlineStr">
        <is>
          <t>unexplained_result_findetail_position.xlsx</t>
        </is>
      </c>
      <c r="B6" s="15" t="inlineStr">
        <is>
          <t>Drilldown</t>
        </is>
      </c>
      <c r="C6" s="15" t="inlineStr">
        <is>
          <t>Settlement</t>
        </is>
      </c>
      <c r="D6" s="15" t="inlineStr">
        <is>
          <t>mismatch</t>
        </is>
      </c>
      <c r="E6" s="15" t="n">
        <v>1248020</v>
      </c>
      <c r="F6" s="15" t="inlineStr">
        <is>
          <t>1083565</t>
        </is>
      </c>
      <c r="G6" s="15" t="inlineStr">
        <is>
          <t>PHYSICAL</t>
        </is>
      </c>
      <c r="H6" s="15" t="inlineStr">
        <is>
          <t>BUY</t>
        </is>
      </c>
      <c r="I6" s="15" t="inlineStr">
        <is>
          <t>Gas Storage</t>
        </is>
      </c>
      <c r="J6" s="15" t="inlineStr">
        <is>
          <t>Chicago City Gates</t>
        </is>
      </c>
      <c r="K6" s="15" t="n">
        <v/>
      </c>
      <c r="L6" s="15" t="n">
        <v/>
      </c>
      <c r="M6" s="15" t="n">
        <v/>
      </c>
      <c r="N6" s="15" t="n">
        <v>5833.3333</v>
      </c>
      <c r="O6" s="15" t="n">
        <v>5833</v>
      </c>
      <c r="P6" s="16">
        <f>O6-N6</f>
        <v/>
      </c>
      <c r="Q6" s="15" t="inlineStr">
        <is>
          <t>true</t>
        </is>
      </c>
    </row>
    <row r="7">
      <c r="A7" s="15" t="inlineStr">
        <is>
          <t>unexplained_result_findetail_position.xlsx</t>
        </is>
      </c>
      <c r="B7" s="15" t="inlineStr">
        <is>
          <t>Drilldown</t>
        </is>
      </c>
      <c r="C7" s="15" t="inlineStr">
        <is>
          <t>Settlement</t>
        </is>
      </c>
      <c r="D7" s="15" t="inlineStr">
        <is>
          <t>mismatch</t>
        </is>
      </c>
      <c r="E7" s="15" t="n">
        <v>2706967</v>
      </c>
      <c r="F7" s="15" t="inlineStr">
        <is>
          <t>1634623</t>
        </is>
      </c>
      <c r="G7" s="15" t="inlineStr">
        <is>
          <t>PHYSICAL</t>
        </is>
      </c>
      <c r="H7" s="15" t="inlineStr">
        <is>
          <t>BUY</t>
        </is>
      </c>
      <c r="I7" s="15" t="inlineStr">
        <is>
          <t>Gas Storage</t>
        </is>
      </c>
      <c r="J7" s="15" t="inlineStr">
        <is>
          <t>Worsham Storage</t>
        </is>
      </c>
      <c r="K7" s="15" t="n">
        <v/>
      </c>
      <c r="L7" s="15" t="n">
        <v/>
      </c>
      <c r="M7" s="15" t="n">
        <v/>
      </c>
      <c r="N7" s="15" t="n">
        <v>2180.5393</v>
      </c>
      <c r="O7" s="15" t="n">
        <v>2181</v>
      </c>
      <c r="P7" s="16">
        <f>O7-N7</f>
        <v/>
      </c>
      <c r="Q7" s="15" t="inlineStr">
        <is>
          <t>true</t>
        </is>
      </c>
    </row>
    <row r="8">
      <c r="A8" s="15" t="inlineStr">
        <is>
          <t>unexplained_result_findetail_position.xlsx</t>
        </is>
      </c>
      <c r="B8" s="15" t="inlineStr">
        <is>
          <t>Drilldown</t>
        </is>
      </c>
      <c r="C8" s="15" t="inlineStr">
        <is>
          <t>Settlement</t>
        </is>
      </c>
      <c r="D8" s="15" t="inlineStr">
        <is>
          <t>mismatch</t>
        </is>
      </c>
      <c r="E8" s="15" t="n">
        <v>3718624</v>
      </c>
      <c r="F8" s="15" t="inlineStr">
        <is>
          <t>1953951</t>
        </is>
      </c>
      <c r="G8" s="15" t="inlineStr">
        <is>
          <t>PHYSICAL</t>
        </is>
      </c>
      <c r="H8" s="15" t="inlineStr">
        <is>
          <t>BUY</t>
        </is>
      </c>
      <c r="I8" s="15" t="inlineStr">
        <is>
          <t>REC Texas</t>
        </is>
      </c>
      <c r="J8" s="15" t="inlineStr">
        <is>
          <t>REC V2026</t>
        </is>
      </c>
      <c r="K8" s="15" t="n">
        <v/>
      </c>
      <c r="L8" s="15" t="n">
        <v/>
      </c>
      <c r="M8" s="15" t="n">
        <v/>
      </c>
      <c r="N8" s="15" t="n">
        <v>24910.16</v>
      </c>
      <c r="O8" s="15" t="n">
        <v>24910</v>
      </c>
      <c r="P8" s="16">
        <f>O8-N8</f>
        <v/>
      </c>
      <c r="Q8" s="15" t="inlineStr">
        <is>
          <t>true</t>
        </is>
      </c>
    </row>
    <row r="9">
      <c r="A9" s="8" t="inlineStr">
        <is>
          <t>ISSUE - New position (post only)  (35 rows)</t>
        </is>
      </c>
    </row>
    <row r="10">
      <c r="A10" s="9" t="inlineStr">
        <is>
          <t>unexplained_result_findetail_position.xlsx</t>
        </is>
      </c>
      <c r="B10" s="9" t="inlineStr">
        <is>
          <t>Drilldown</t>
        </is>
      </c>
      <c r="C10" s="9" t="inlineStr">
        <is>
          <t>Settlement</t>
        </is>
      </c>
      <c r="D10" s="9" t="inlineStr">
        <is>
          <t>new_post</t>
        </is>
      </c>
      <c r="E10" s="9" t="n">
        <v>4347266</v>
      </c>
      <c r="F10" s="9" t="n">
        <v/>
      </c>
      <c r="G10" s="9" t="inlineStr">
        <is>
          <t>PHYSICAL</t>
        </is>
      </c>
      <c r="H10" s="9" t="inlineStr">
        <is>
          <t>BUY</t>
        </is>
      </c>
      <c r="I10" s="9" t="inlineStr">
        <is>
          <t>Gas Transportation</t>
        </is>
      </c>
      <c r="J10" s="9" t="inlineStr">
        <is>
          <t>Tennessee Z4-200 Leg</t>
        </is>
      </c>
      <c r="K10" s="9" t="n">
        <v/>
      </c>
      <c r="L10" s="9" t="n">
        <v/>
      </c>
      <c r="M10" s="9" t="n">
        <v/>
      </c>
      <c r="N10" s="9" t="n">
        <v>0</v>
      </c>
      <c r="O10" s="9" t="n">
        <v>0</v>
      </c>
      <c r="P10" s="10">
        <f>O10-N10</f>
        <v/>
      </c>
      <c r="Q10" s="9" t="inlineStr">
        <is>
          <t>true</t>
        </is>
      </c>
    </row>
    <row r="11">
      <c r="A11" s="9" t="inlineStr">
        <is>
          <t>unexplained_result_findetail_position.xlsx</t>
        </is>
      </c>
      <c r="B11" s="9" t="inlineStr">
        <is>
          <t>Drilldown</t>
        </is>
      </c>
      <c r="C11" s="9" t="inlineStr">
        <is>
          <t>Settlement</t>
        </is>
      </c>
      <c r="D11" s="9" t="inlineStr">
        <is>
          <t>new_post</t>
        </is>
      </c>
      <c r="E11" s="9" t="n">
        <v>4676738</v>
      </c>
      <c r="F11" s="9" t="inlineStr">
        <is>
          <t>2258482</t>
        </is>
      </c>
      <c r="G11" s="9" t="inlineStr">
        <is>
          <t>FINANCIAL</t>
        </is>
      </c>
      <c r="H11" s="9" t="inlineStr">
        <is>
          <t>SWAP</t>
        </is>
      </c>
      <c r="I11" s="9" t="inlineStr">
        <is>
          <t>Heating Degree Day</t>
        </is>
      </c>
      <c r="J11" s="9" t="inlineStr">
        <is>
          <t>Chicago OHare Airport</t>
        </is>
      </c>
      <c r="K11" s="9" t="n">
        <v/>
      </c>
      <c r="L11" s="9" t="n">
        <v/>
      </c>
      <c r="M11" s="9" t="n">
        <v/>
      </c>
      <c r="N11" s="9" t="n">
        <v>0</v>
      </c>
      <c r="O11" s="9" t="n">
        <v>4000</v>
      </c>
      <c r="P11" s="10">
        <f>O11-N11</f>
        <v/>
      </c>
      <c r="Q11" s="9" t="inlineStr">
        <is>
          <t>true</t>
        </is>
      </c>
    </row>
    <row r="12">
      <c r="A12" s="9" t="inlineStr">
        <is>
          <t>unexplained_result_findetail_position.xlsx</t>
        </is>
      </c>
      <c r="B12" s="9" t="inlineStr">
        <is>
          <t>Drilldown</t>
        </is>
      </c>
      <c r="C12" s="9" t="inlineStr">
        <is>
          <t>Settlement</t>
        </is>
      </c>
      <c r="D12" s="9" t="inlineStr">
        <is>
          <t>new_post</t>
        </is>
      </c>
      <c r="E12" s="9" t="n">
        <v>4677600</v>
      </c>
      <c r="F12" s="9" t="inlineStr">
        <is>
          <t>2258847</t>
        </is>
      </c>
      <c r="G12" s="9" t="inlineStr">
        <is>
          <t>FINANCIAL</t>
        </is>
      </c>
      <c r="H12" s="9" t="inlineStr">
        <is>
          <t>SWAP</t>
        </is>
      </c>
      <c r="I12" s="9" t="inlineStr">
        <is>
          <t>Heating Degree Day</t>
        </is>
      </c>
      <c r="J12" s="9" t="inlineStr">
        <is>
          <t>Chicago OHare Airport</t>
        </is>
      </c>
      <c r="K12" s="9" t="n">
        <v/>
      </c>
      <c r="L12" s="9" t="n">
        <v/>
      </c>
      <c r="M12" s="9" t="n">
        <v/>
      </c>
      <c r="N12" s="9" t="n">
        <v>0</v>
      </c>
      <c r="O12" s="9" t="n">
        <v>4000</v>
      </c>
      <c r="P12" s="10">
        <f>O12-N12</f>
        <v/>
      </c>
      <c r="Q12" s="9" t="inlineStr">
        <is>
          <t>true</t>
        </is>
      </c>
    </row>
    <row r="13">
      <c r="A13" s="9" t="inlineStr">
        <is>
          <t>unexplained_result_findetail_position.xlsx</t>
        </is>
      </c>
      <c r="B13" s="9" t="inlineStr">
        <is>
          <t>Drilldown</t>
        </is>
      </c>
      <c r="C13" s="9" t="inlineStr">
        <is>
          <t>Settlement</t>
        </is>
      </c>
      <c r="D13" s="9" t="inlineStr">
        <is>
          <t>new_post</t>
        </is>
      </c>
      <c r="E13" s="9" t="n">
        <v>4677607</v>
      </c>
      <c r="F13" s="9" t="inlineStr">
        <is>
          <t>2258851</t>
        </is>
      </c>
      <c r="G13" s="9" t="inlineStr">
        <is>
          <t>FINANCIAL</t>
        </is>
      </c>
      <c r="H13" s="9" t="inlineStr">
        <is>
          <t>SWAP</t>
        </is>
      </c>
      <c r="I13" s="9" t="inlineStr">
        <is>
          <t>Heating Degree Day</t>
        </is>
      </c>
      <c r="J13" s="9" t="inlineStr">
        <is>
          <t>Chicago OHare Airport</t>
        </is>
      </c>
      <c r="K13" s="9" t="n">
        <v/>
      </c>
      <c r="L13" s="9" t="n">
        <v/>
      </c>
      <c r="M13" s="9" t="n">
        <v/>
      </c>
      <c r="N13" s="9" t="n">
        <v>0</v>
      </c>
      <c r="O13" s="9" t="n">
        <v>4000</v>
      </c>
      <c r="P13" s="10">
        <f>O13-N13</f>
        <v/>
      </c>
      <c r="Q13" s="9" t="inlineStr">
        <is>
          <t>true</t>
        </is>
      </c>
    </row>
    <row r="14">
      <c r="A14" s="9" t="inlineStr">
        <is>
          <t>unexplained_result_findetail_position.xlsx</t>
        </is>
      </c>
      <c r="B14" s="9" t="inlineStr">
        <is>
          <t>Drilldown</t>
        </is>
      </c>
      <c r="C14" s="9" t="inlineStr">
        <is>
          <t>Settlement</t>
        </is>
      </c>
      <c r="D14" s="9" t="inlineStr">
        <is>
          <t>new_post</t>
        </is>
      </c>
      <c r="E14" s="9" t="n">
        <v>4758127</v>
      </c>
      <c r="F14" s="9" t="inlineStr">
        <is>
          <t>2285953</t>
        </is>
      </c>
      <c r="G14" s="9" t="inlineStr">
        <is>
          <t>FINANCIAL</t>
        </is>
      </c>
      <c r="H14" s="9" t="inlineStr">
        <is>
          <t>BUY</t>
        </is>
      </c>
      <c r="I14" s="9" t="inlineStr">
        <is>
          <t>Heating Degree Day</t>
        </is>
      </c>
      <c r="J14" s="9" t="inlineStr">
        <is>
          <t>DFW Airport</t>
        </is>
      </c>
      <c r="K14" s="9" t="n">
        <v/>
      </c>
      <c r="L14" s="9" t="n">
        <v/>
      </c>
      <c r="M14" s="9" t="n">
        <v/>
      </c>
      <c r="N14" s="9" t="n">
        <v>0</v>
      </c>
      <c r="O14" s="9" t="n">
        <v>32500</v>
      </c>
      <c r="P14" s="10">
        <f>O14-N14</f>
        <v/>
      </c>
      <c r="Q14" s="9" t="inlineStr">
        <is>
          <t>true</t>
        </is>
      </c>
    </row>
    <row r="15">
      <c r="A15" s="9" t="inlineStr">
        <is>
          <t>unexplained_result_findetail_position.xlsx</t>
        </is>
      </c>
      <c r="B15" s="9" t="inlineStr">
        <is>
          <t>Drilldown</t>
        </is>
      </c>
      <c r="C15" s="9" t="inlineStr">
        <is>
          <t>Settlement</t>
        </is>
      </c>
      <c r="D15" s="9" t="inlineStr">
        <is>
          <t>new_post</t>
        </is>
      </c>
      <c r="E15" s="9" t="inlineStr">
        <is>
          <t>4758128</t>
        </is>
      </c>
      <c r="F15" s="9" t="inlineStr">
        <is>
          <t>2285953</t>
        </is>
      </c>
      <c r="G15" s="9" t="inlineStr">
        <is>
          <t>FINANCIAL</t>
        </is>
      </c>
      <c r="H15" s="9" t="inlineStr">
        <is>
          <t>BUY</t>
        </is>
      </c>
      <c r="I15" s="9" t="inlineStr">
        <is>
          <t>Heating Degree Day</t>
        </is>
      </c>
      <c r="J15" s="9" t="inlineStr">
        <is>
          <t xml:space="preserve">Houston - Bush Intercontinental </t>
        </is>
      </c>
      <c r="K15" s="9" t="n">
        <v/>
      </c>
      <c r="L15" s="9" t="n">
        <v/>
      </c>
      <c r="M15" s="9" t="n">
        <v/>
      </c>
      <c r="N15" s="9" t="n">
        <v>0</v>
      </c>
      <c r="O15" s="9" t="n">
        <v>22500</v>
      </c>
      <c r="P15" s="10">
        <f>O15-N15</f>
        <v/>
      </c>
      <c r="Q15" s="9" t="inlineStr">
        <is>
          <t>true</t>
        </is>
      </c>
    </row>
    <row r="16">
      <c r="A16" s="9" t="inlineStr">
        <is>
          <t>unexplained_result_findetail_position.xlsx</t>
        </is>
      </c>
      <c r="B16" s="9" t="inlineStr">
        <is>
          <t>Drilldown</t>
        </is>
      </c>
      <c r="C16" s="9" t="inlineStr">
        <is>
          <t>Settlement</t>
        </is>
      </c>
      <c r="D16" s="9" t="inlineStr">
        <is>
          <t>new_post</t>
        </is>
      </c>
      <c r="E16" s="9" t="inlineStr">
        <is>
          <t>4760073</t>
        </is>
      </c>
      <c r="F16" s="9" t="inlineStr">
        <is>
          <t>2286035</t>
        </is>
      </c>
      <c r="G16" s="9" t="inlineStr">
        <is>
          <t>FINANCIAL</t>
        </is>
      </c>
      <c r="H16" s="9" t="inlineStr">
        <is>
          <t>SELL</t>
        </is>
      </c>
      <c r="I16" s="9" t="inlineStr">
        <is>
          <t>Heating Degree Day</t>
        </is>
      </c>
      <c r="J16" s="9" t="inlineStr">
        <is>
          <t>DFW Airport</t>
        </is>
      </c>
      <c r="K16" s="9" t="n">
        <v/>
      </c>
      <c r="L16" s="9" t="n">
        <v/>
      </c>
      <c r="M16" s="9" t="n">
        <v/>
      </c>
      <c r="N16" s="9" t="n">
        <v>0</v>
      </c>
      <c r="O16" s="9" t="n">
        <v>32500</v>
      </c>
      <c r="P16" s="10">
        <f>O16-N16</f>
        <v/>
      </c>
      <c r="Q16" s="9" t="inlineStr">
        <is>
          <t>true</t>
        </is>
      </c>
    </row>
    <row r="17">
      <c r="A17" s="9" t="inlineStr">
        <is>
          <t>unexplained_result_findetail_position.xlsx</t>
        </is>
      </c>
      <c r="B17" s="9" t="inlineStr">
        <is>
          <t>Drilldown</t>
        </is>
      </c>
      <c r="C17" s="9" t="inlineStr">
        <is>
          <t>Settlement</t>
        </is>
      </c>
      <c r="D17" s="9" t="inlineStr">
        <is>
          <t>new_post</t>
        </is>
      </c>
      <c r="E17" s="9" t="inlineStr">
        <is>
          <t>4760074</t>
        </is>
      </c>
      <c r="F17" s="9" t="inlineStr">
        <is>
          <t>2286035</t>
        </is>
      </c>
      <c r="G17" s="9" t="inlineStr">
        <is>
          <t>FINANCIAL</t>
        </is>
      </c>
      <c r="H17" s="9" t="inlineStr">
        <is>
          <t>SELL</t>
        </is>
      </c>
      <c r="I17" s="9" t="inlineStr">
        <is>
          <t>Heating Degree Day</t>
        </is>
      </c>
      <c r="J17" s="9" t="inlineStr">
        <is>
          <t xml:space="preserve">Houston - Bush Intercontinental </t>
        </is>
      </c>
      <c r="K17" s="9" t="n">
        <v/>
      </c>
      <c r="L17" s="9" t="n">
        <v/>
      </c>
      <c r="M17" s="9" t="n">
        <v/>
      </c>
      <c r="N17" s="9" t="n">
        <v>0</v>
      </c>
      <c r="O17" s="9" t="n">
        <v>22500</v>
      </c>
      <c r="P17" s="10">
        <f>O17-N17</f>
        <v/>
      </c>
      <c r="Q17" s="9" t="inlineStr">
        <is>
          <t>true</t>
        </is>
      </c>
    </row>
    <row r="18">
      <c r="A18" s="9" t="inlineStr">
        <is>
          <t>unexplained_result_findetail_position.xlsx</t>
        </is>
      </c>
      <c r="B18" s="9" t="inlineStr">
        <is>
          <t>Drilldown</t>
        </is>
      </c>
      <c r="C18" s="9" t="inlineStr">
        <is>
          <t>Settlement</t>
        </is>
      </c>
      <c r="D18" s="9" t="inlineStr">
        <is>
          <t>new_post</t>
        </is>
      </c>
      <c r="E18" s="9" t="inlineStr">
        <is>
          <t>4760096</t>
        </is>
      </c>
      <c r="F18" s="9" t="inlineStr">
        <is>
          <t>2286057</t>
        </is>
      </c>
      <c r="G18" s="9" t="inlineStr">
        <is>
          <t>FINANCIAL</t>
        </is>
      </c>
      <c r="H18" s="9" t="inlineStr">
        <is>
          <t>BUY</t>
        </is>
      </c>
      <c r="I18" s="9" t="inlineStr">
        <is>
          <t>Heating Degree Day</t>
        </is>
      </c>
      <c r="J18" s="9" t="inlineStr">
        <is>
          <t xml:space="preserve">Houston - Bush Intercontinental </t>
        </is>
      </c>
      <c r="K18" s="9" t="n">
        <v/>
      </c>
      <c r="L18" s="9" t="n">
        <v/>
      </c>
      <c r="M18" s="9" t="n">
        <v/>
      </c>
      <c r="N18" s="9" t="n">
        <v>0</v>
      </c>
      <c r="O18" s="9" t="n">
        <v>22500</v>
      </c>
      <c r="P18" s="10">
        <f>O18-N18</f>
        <v/>
      </c>
      <c r="Q18" s="9" t="inlineStr">
        <is>
          <t>true</t>
        </is>
      </c>
    </row>
    <row r="19">
      <c r="A19" s="9" t="inlineStr">
        <is>
          <t>unexplained_result_findetail_position.xlsx</t>
        </is>
      </c>
      <c r="B19" s="9" t="inlineStr">
        <is>
          <t>Drilldown</t>
        </is>
      </c>
      <c r="C19" s="9" t="inlineStr">
        <is>
          <t>Settlement</t>
        </is>
      </c>
      <c r="D19" s="9" t="inlineStr">
        <is>
          <t>new_post</t>
        </is>
      </c>
      <c r="E19" s="9" t="inlineStr">
        <is>
          <t>4760101</t>
        </is>
      </c>
      <c r="F19" s="9" t="inlineStr">
        <is>
          <t>2286057</t>
        </is>
      </c>
      <c r="G19" s="9" t="inlineStr">
        <is>
          <t>FINANCIAL</t>
        </is>
      </c>
      <c r="H19" s="9" t="inlineStr">
        <is>
          <t>BUY</t>
        </is>
      </c>
      <c r="I19" s="9" t="inlineStr">
        <is>
          <t>Heating Degree Day</t>
        </is>
      </c>
      <c r="J19" s="9" t="inlineStr">
        <is>
          <t>DFW Airport</t>
        </is>
      </c>
      <c r="K19" s="9" t="n">
        <v/>
      </c>
      <c r="L19" s="9" t="n">
        <v/>
      </c>
      <c r="M19" s="9" t="n">
        <v/>
      </c>
      <c r="N19" s="9" t="n">
        <v>0</v>
      </c>
      <c r="O19" s="9" t="n">
        <v>32500</v>
      </c>
      <c r="P19" s="10">
        <f>O19-N19</f>
        <v/>
      </c>
      <c r="Q19" s="9" t="inlineStr">
        <is>
          <t>true</t>
        </is>
      </c>
    </row>
    <row r="20">
      <c r="A20" s="9" t="inlineStr">
        <is>
          <t>unexplained_result_findetail_position.xlsx</t>
        </is>
      </c>
      <c r="B20" s="9" t="inlineStr">
        <is>
          <t>Drilldown</t>
        </is>
      </c>
      <c r="C20" s="9" t="inlineStr">
        <is>
          <t>Settlement</t>
        </is>
      </c>
      <c r="D20" s="9" t="inlineStr">
        <is>
          <t>new_post</t>
        </is>
      </c>
      <c r="E20" s="9" t="inlineStr">
        <is>
          <t>4773053</t>
        </is>
      </c>
      <c r="F20" s="9" t="inlineStr">
        <is>
          <t>2290356</t>
        </is>
      </c>
      <c r="G20" s="9" t="inlineStr">
        <is>
          <t>FINANCIAL</t>
        </is>
      </c>
      <c r="H20" s="9" t="inlineStr">
        <is>
          <t>SWAP</t>
        </is>
      </c>
      <c r="I20" s="9" t="inlineStr">
        <is>
          <t>Heating Degree Day</t>
        </is>
      </c>
      <c r="J20" s="9" t="inlineStr">
        <is>
          <t>PHL Airport</t>
        </is>
      </c>
      <c r="K20" s="9" t="n">
        <v/>
      </c>
      <c r="L20" s="9" t="n">
        <v/>
      </c>
      <c r="M20" s="9" t="n">
        <v/>
      </c>
      <c r="N20" s="9" t="n">
        <v>0</v>
      </c>
      <c r="O20" s="9" t="n">
        <v>10000</v>
      </c>
      <c r="P20" s="10">
        <f>O20-N20</f>
        <v/>
      </c>
      <c r="Q20" s="9" t="inlineStr">
        <is>
          <t>true</t>
        </is>
      </c>
    </row>
    <row r="21">
      <c r="A21" s="9" t="inlineStr">
        <is>
          <t>unexplained_result_findetail_position.xlsx</t>
        </is>
      </c>
      <c r="B21" s="9" t="inlineStr">
        <is>
          <t>Drilldown</t>
        </is>
      </c>
      <c r="C21" s="9" t="inlineStr">
        <is>
          <t>Settlement</t>
        </is>
      </c>
      <c r="D21" s="9" t="inlineStr">
        <is>
          <t>new_post</t>
        </is>
      </c>
      <c r="E21" s="9" t="inlineStr">
        <is>
          <t>4773058</t>
        </is>
      </c>
      <c r="F21" s="9" t="inlineStr">
        <is>
          <t>2290358</t>
        </is>
      </c>
      <c r="G21" s="9" t="inlineStr">
        <is>
          <t>FINANCIAL</t>
        </is>
      </c>
      <c r="H21" s="9" t="inlineStr">
        <is>
          <t>SWAP</t>
        </is>
      </c>
      <c r="I21" s="9" t="inlineStr">
        <is>
          <t>Heating Degree Day</t>
        </is>
      </c>
      <c r="J21" s="9" t="inlineStr">
        <is>
          <t>PHL Airport</t>
        </is>
      </c>
      <c r="K21" s="9" t="n">
        <v/>
      </c>
      <c r="L21" s="9" t="n">
        <v/>
      </c>
      <c r="M21" s="9" t="n">
        <v/>
      </c>
      <c r="N21" s="9" t="n">
        <v>0</v>
      </c>
      <c r="O21" s="9" t="n">
        <v>10000</v>
      </c>
      <c r="P21" s="10">
        <f>O21-N21</f>
        <v/>
      </c>
      <c r="Q21" s="9" t="inlineStr">
        <is>
          <t>true</t>
        </is>
      </c>
    </row>
    <row r="22">
      <c r="A22" s="9" t="inlineStr">
        <is>
          <t>unexplained_result_findetail_position.xlsx</t>
        </is>
      </c>
      <c r="B22" s="9" t="inlineStr">
        <is>
          <t>Drilldown</t>
        </is>
      </c>
      <c r="C22" s="9" t="inlineStr">
        <is>
          <t>Settlement</t>
        </is>
      </c>
      <c r="D22" s="9" t="inlineStr">
        <is>
          <t>new_post</t>
        </is>
      </c>
      <c r="E22" s="9" t="inlineStr">
        <is>
          <t>4773171</t>
        </is>
      </c>
      <c r="F22" s="9" t="inlineStr">
        <is>
          <t>2290394</t>
        </is>
      </c>
      <c r="G22" s="9" t="inlineStr">
        <is>
          <t>FINANCIAL</t>
        </is>
      </c>
      <c r="H22" s="9" t="inlineStr">
        <is>
          <t>SWAP</t>
        </is>
      </c>
      <c r="I22" s="9" t="inlineStr">
        <is>
          <t>Heating Degree Day</t>
        </is>
      </c>
      <c r="J22" s="9" t="inlineStr">
        <is>
          <t>BOS Airport</t>
        </is>
      </c>
      <c r="K22" s="9" t="n">
        <v/>
      </c>
      <c r="L22" s="9" t="n">
        <v/>
      </c>
      <c r="M22" s="9" t="n">
        <v/>
      </c>
      <c r="N22" s="9" t="n">
        <v>0</v>
      </c>
      <c r="O22" s="9" t="n">
        <v>2000</v>
      </c>
      <c r="P22" s="10">
        <f>O22-N22</f>
        <v/>
      </c>
      <c r="Q22" s="9" t="inlineStr">
        <is>
          <t>true</t>
        </is>
      </c>
    </row>
    <row r="23">
      <c r="A23" s="9" t="inlineStr">
        <is>
          <t>unexplained_result_findetail_position.xlsx</t>
        </is>
      </c>
      <c r="B23" s="9" t="inlineStr">
        <is>
          <t>Drilldown</t>
        </is>
      </c>
      <c r="C23" s="9" t="inlineStr">
        <is>
          <t>Settlement</t>
        </is>
      </c>
      <c r="D23" s="9" t="inlineStr">
        <is>
          <t>new_post</t>
        </is>
      </c>
      <c r="E23" s="9" t="inlineStr">
        <is>
          <t>4773174</t>
        </is>
      </c>
      <c r="F23" s="9" t="inlineStr">
        <is>
          <t>2290395</t>
        </is>
      </c>
      <c r="G23" s="9" t="inlineStr">
        <is>
          <t>FINANCIAL</t>
        </is>
      </c>
      <c r="H23" s="9" t="inlineStr">
        <is>
          <t>SWAP</t>
        </is>
      </c>
      <c r="I23" s="9" t="inlineStr">
        <is>
          <t>Heating Degree Day</t>
        </is>
      </c>
      <c r="J23" s="9" t="inlineStr">
        <is>
          <t>BOS Airport</t>
        </is>
      </c>
      <c r="K23" s="9" t="n">
        <v/>
      </c>
      <c r="L23" s="9" t="n">
        <v/>
      </c>
      <c r="M23" s="9" t="n">
        <v/>
      </c>
      <c r="N23" s="9" t="n">
        <v>0</v>
      </c>
      <c r="O23" s="9" t="n">
        <v>8000</v>
      </c>
      <c r="P23" s="10">
        <f>O23-N23</f>
        <v/>
      </c>
      <c r="Q23" s="9" t="inlineStr">
        <is>
          <t>true</t>
        </is>
      </c>
    </row>
    <row r="24">
      <c r="A24" s="9" t="inlineStr">
        <is>
          <t>unexplained_result_findetail_position.xlsx</t>
        </is>
      </c>
      <c r="B24" s="9" t="inlineStr">
        <is>
          <t>Drilldown</t>
        </is>
      </c>
      <c r="C24" s="9" t="inlineStr">
        <is>
          <t>Settlement</t>
        </is>
      </c>
      <c r="D24" s="9" t="inlineStr">
        <is>
          <t>new_post</t>
        </is>
      </c>
      <c r="E24" s="9" t="inlineStr">
        <is>
          <t>4773796</t>
        </is>
      </c>
      <c r="F24" s="9" t="inlineStr">
        <is>
          <t>2290712</t>
        </is>
      </c>
      <c r="G24" s="9" t="inlineStr">
        <is>
          <t>FINANCIAL</t>
        </is>
      </c>
      <c r="H24" s="9" t="inlineStr">
        <is>
          <t>SWAP</t>
        </is>
      </c>
      <c r="I24" s="9" t="inlineStr">
        <is>
          <t>Heating Degree Day</t>
        </is>
      </c>
      <c r="J24" s="9" t="inlineStr">
        <is>
          <t>PHL Airport</t>
        </is>
      </c>
      <c r="K24" s="9" t="n">
        <v/>
      </c>
      <c r="L24" s="9" t="n">
        <v/>
      </c>
      <c r="M24" s="9" t="n">
        <v/>
      </c>
      <c r="N24" s="9" t="n">
        <v>0</v>
      </c>
      <c r="O24" s="9" t="n">
        <v>10000</v>
      </c>
      <c r="P24" s="10">
        <f>O24-N24</f>
        <v/>
      </c>
      <c r="Q24" s="9" t="inlineStr">
        <is>
          <t>true</t>
        </is>
      </c>
    </row>
    <row r="25">
      <c r="A25" s="9" t="inlineStr">
        <is>
          <t>unexplained_result_findetail_position.xlsx</t>
        </is>
      </c>
      <c r="B25" s="9" t="inlineStr">
        <is>
          <t>Drilldown</t>
        </is>
      </c>
      <c r="C25" s="9" t="inlineStr">
        <is>
          <t>Settlement</t>
        </is>
      </c>
      <c r="D25" s="9" t="inlineStr">
        <is>
          <t>new_post</t>
        </is>
      </c>
      <c r="E25" s="9" t="inlineStr">
        <is>
          <t>4773836</t>
        </is>
      </c>
      <c r="F25" s="9" t="inlineStr">
        <is>
          <t>2290755</t>
        </is>
      </c>
      <c r="G25" s="9" t="inlineStr">
        <is>
          <t>FINANCIAL</t>
        </is>
      </c>
      <c r="H25" s="9" t="inlineStr">
        <is>
          <t>SWAP</t>
        </is>
      </c>
      <c r="I25" s="9" t="inlineStr">
        <is>
          <t>Heating Degree Day</t>
        </is>
      </c>
      <c r="J25" s="9" t="inlineStr">
        <is>
          <t>PHL Airport</t>
        </is>
      </c>
      <c r="K25" s="9" t="n">
        <v/>
      </c>
      <c r="L25" s="9" t="n">
        <v/>
      </c>
      <c r="M25" s="9" t="n">
        <v/>
      </c>
      <c r="N25" s="9" t="n">
        <v>0</v>
      </c>
      <c r="O25" s="9" t="n">
        <v>10000</v>
      </c>
      <c r="P25" s="10">
        <f>O25-N25</f>
        <v/>
      </c>
      <c r="Q25" s="9" t="inlineStr">
        <is>
          <t>true</t>
        </is>
      </c>
    </row>
    <row r="26">
      <c r="A26" s="9" t="inlineStr">
        <is>
          <t>unexplained_result_findetail_position.xlsx</t>
        </is>
      </c>
      <c r="B26" s="9" t="inlineStr">
        <is>
          <t>Drilldown</t>
        </is>
      </c>
      <c r="C26" s="9" t="inlineStr">
        <is>
          <t>Settlement</t>
        </is>
      </c>
      <c r="D26" s="9" t="inlineStr">
        <is>
          <t>new_post</t>
        </is>
      </c>
      <c r="E26" s="9" t="inlineStr">
        <is>
          <t>4773891</t>
        </is>
      </c>
      <c r="F26" s="9" t="inlineStr">
        <is>
          <t>2290805</t>
        </is>
      </c>
      <c r="G26" s="9" t="inlineStr">
        <is>
          <t>FINANCIAL</t>
        </is>
      </c>
      <c r="H26" s="9" t="inlineStr">
        <is>
          <t>SWAP</t>
        </is>
      </c>
      <c r="I26" s="9" t="inlineStr">
        <is>
          <t>Heating Degree Day</t>
        </is>
      </c>
      <c r="J26" s="9" t="inlineStr">
        <is>
          <t>BOS Airport</t>
        </is>
      </c>
      <c r="K26" s="9" t="n">
        <v/>
      </c>
      <c r="L26" s="9" t="n">
        <v/>
      </c>
      <c r="M26" s="9" t="n">
        <v/>
      </c>
      <c r="N26" s="9" t="n">
        <v>0</v>
      </c>
      <c r="O26" s="9" t="n">
        <v>8000</v>
      </c>
      <c r="P26" s="10">
        <f>O26-N26</f>
        <v/>
      </c>
      <c r="Q26" s="9" t="inlineStr">
        <is>
          <t>true</t>
        </is>
      </c>
    </row>
    <row r="27">
      <c r="A27" s="9" t="inlineStr">
        <is>
          <t>unexplained_result_findetail_position.xlsx</t>
        </is>
      </c>
      <c r="B27" s="9" t="inlineStr">
        <is>
          <t>Drilldown</t>
        </is>
      </c>
      <c r="C27" s="9" t="inlineStr">
        <is>
          <t>Settlement</t>
        </is>
      </c>
      <c r="D27" s="9" t="inlineStr">
        <is>
          <t>new_post</t>
        </is>
      </c>
      <c r="E27" s="9" t="inlineStr">
        <is>
          <t>4773927</t>
        </is>
      </c>
      <c r="F27" s="9" t="inlineStr">
        <is>
          <t>2290843</t>
        </is>
      </c>
      <c r="G27" s="9" t="inlineStr">
        <is>
          <t>FINANCIAL</t>
        </is>
      </c>
      <c r="H27" s="9" t="inlineStr">
        <is>
          <t>SWAP</t>
        </is>
      </c>
      <c r="I27" s="9" t="inlineStr">
        <is>
          <t>Heating Degree Day</t>
        </is>
      </c>
      <c r="J27" s="9" t="inlineStr">
        <is>
          <t>BOS Airport</t>
        </is>
      </c>
      <c r="K27" s="9" t="n">
        <v/>
      </c>
      <c r="L27" s="9" t="n">
        <v/>
      </c>
      <c r="M27" s="9" t="n">
        <v/>
      </c>
      <c r="N27" s="9" t="n">
        <v>0</v>
      </c>
      <c r="O27" s="9" t="n">
        <v>8000</v>
      </c>
      <c r="P27" s="10">
        <f>O27-N27</f>
        <v/>
      </c>
      <c r="Q27" s="9" t="inlineStr">
        <is>
          <t>true</t>
        </is>
      </c>
    </row>
    <row r="28">
      <c r="A28" s="9" t="inlineStr">
        <is>
          <t>unexplained_result_findetail_position.xlsx</t>
        </is>
      </c>
      <c r="B28" s="9" t="inlineStr">
        <is>
          <t>Drilldown</t>
        </is>
      </c>
      <c r="C28" s="9" t="inlineStr">
        <is>
          <t>Settlement</t>
        </is>
      </c>
      <c r="D28" s="9" t="inlineStr">
        <is>
          <t>new_post</t>
        </is>
      </c>
      <c r="E28" s="9" t="inlineStr">
        <is>
          <t>4773983</t>
        </is>
      </c>
      <c r="F28" s="9" t="inlineStr">
        <is>
          <t>2290895</t>
        </is>
      </c>
      <c r="G28" s="9" t="inlineStr">
        <is>
          <t>FINANCIAL</t>
        </is>
      </c>
      <c r="H28" s="9" t="inlineStr">
        <is>
          <t>SWAP</t>
        </is>
      </c>
      <c r="I28" s="9" t="inlineStr">
        <is>
          <t>Heating Degree Day</t>
        </is>
      </c>
      <c r="J28" s="9" t="inlineStr">
        <is>
          <t>PHL Airport</t>
        </is>
      </c>
      <c r="K28" s="9" t="n">
        <v/>
      </c>
      <c r="L28" s="9" t="n">
        <v/>
      </c>
      <c r="M28" s="9" t="n">
        <v/>
      </c>
      <c r="N28" s="9" t="n">
        <v>0</v>
      </c>
      <c r="O28" s="9" t="n">
        <v>10000</v>
      </c>
      <c r="P28" s="10">
        <f>O28-N28</f>
        <v/>
      </c>
      <c r="Q28" s="9" t="inlineStr">
        <is>
          <t>true</t>
        </is>
      </c>
    </row>
    <row r="29">
      <c r="A29" s="9" t="inlineStr">
        <is>
          <t>unexplained_result_findetail_position.xlsx</t>
        </is>
      </c>
      <c r="B29" s="9" t="inlineStr">
        <is>
          <t>Drilldown</t>
        </is>
      </c>
      <c r="C29" s="9" t="inlineStr">
        <is>
          <t>Settlement</t>
        </is>
      </c>
      <c r="D29" s="9" t="inlineStr">
        <is>
          <t>new_post</t>
        </is>
      </c>
      <c r="E29" s="9" t="inlineStr">
        <is>
          <t>4774021</t>
        </is>
      </c>
      <c r="F29" s="9" t="inlineStr">
        <is>
          <t>2290934</t>
        </is>
      </c>
      <c r="G29" s="9" t="inlineStr">
        <is>
          <t>FINANCIAL</t>
        </is>
      </c>
      <c r="H29" s="9" t="inlineStr">
        <is>
          <t>SWAP</t>
        </is>
      </c>
      <c r="I29" s="9" t="inlineStr">
        <is>
          <t>Heating Degree Day</t>
        </is>
      </c>
      <c r="J29" s="9" t="inlineStr">
        <is>
          <t>PHL Airport</t>
        </is>
      </c>
      <c r="K29" s="9" t="n">
        <v/>
      </c>
      <c r="L29" s="9" t="n">
        <v/>
      </c>
      <c r="M29" s="9" t="n">
        <v/>
      </c>
      <c r="N29" s="9" t="n">
        <v>0</v>
      </c>
      <c r="O29" s="9" t="n">
        <v>10000</v>
      </c>
      <c r="P29" s="10">
        <f>O29-N29</f>
        <v/>
      </c>
      <c r="Q29" s="9" t="inlineStr">
        <is>
          <t>true</t>
        </is>
      </c>
    </row>
    <row r="30">
      <c r="A30" s="9" t="inlineStr">
        <is>
          <t>unexplained_result_findetail_position.xlsx</t>
        </is>
      </c>
      <c r="B30" s="9" t="inlineStr">
        <is>
          <t>Drilldown</t>
        </is>
      </c>
      <c r="C30" s="9" t="inlineStr">
        <is>
          <t>Settlement</t>
        </is>
      </c>
      <c r="D30" s="9" t="inlineStr">
        <is>
          <t>new_post</t>
        </is>
      </c>
      <c r="E30" s="9" t="inlineStr">
        <is>
          <t>4776904</t>
        </is>
      </c>
      <c r="F30" s="9" t="inlineStr">
        <is>
          <t>2291827</t>
        </is>
      </c>
      <c r="G30" s="9" t="inlineStr">
        <is>
          <t>FINANCIAL</t>
        </is>
      </c>
      <c r="H30" s="9" t="inlineStr">
        <is>
          <t>SWAP</t>
        </is>
      </c>
      <c r="I30" s="9" t="inlineStr">
        <is>
          <t>Heating Degree Day</t>
        </is>
      </c>
      <c r="J30" s="9" t="inlineStr">
        <is>
          <t>Cincinatti Airport</t>
        </is>
      </c>
      <c r="K30" s="9" t="n">
        <v/>
      </c>
      <c r="L30" s="9" t="n">
        <v/>
      </c>
      <c r="M30" s="9" t="n">
        <v/>
      </c>
      <c r="N30" s="9" t="n">
        <v>0</v>
      </c>
      <c r="O30" s="9" t="n">
        <v>10000</v>
      </c>
      <c r="P30" s="10">
        <f>O30-N30</f>
        <v/>
      </c>
      <c r="Q30" s="9" t="inlineStr">
        <is>
          <t>true</t>
        </is>
      </c>
    </row>
    <row r="31">
      <c r="A31" s="9" t="inlineStr">
        <is>
          <t>unexplained_result_findetail_position.xlsx</t>
        </is>
      </c>
      <c r="B31" s="9" t="inlineStr">
        <is>
          <t>Drilldown</t>
        </is>
      </c>
      <c r="C31" s="9" t="inlineStr">
        <is>
          <t>Settlement</t>
        </is>
      </c>
      <c r="D31" s="9" t="inlineStr">
        <is>
          <t>new_post</t>
        </is>
      </c>
      <c r="E31" s="9" t="inlineStr">
        <is>
          <t>4776914</t>
        </is>
      </c>
      <c r="F31" s="9" t="inlineStr">
        <is>
          <t>2291832</t>
        </is>
      </c>
      <c r="G31" s="9" t="inlineStr">
        <is>
          <t>FINANCIAL</t>
        </is>
      </c>
      <c r="H31" s="9" t="inlineStr">
        <is>
          <t>SWAP</t>
        </is>
      </c>
      <c r="I31" s="9" t="inlineStr">
        <is>
          <t>Heating Degree Day</t>
        </is>
      </c>
      <c r="J31" s="9" t="inlineStr">
        <is>
          <t>Cincinatti Airport</t>
        </is>
      </c>
      <c r="K31" s="9" t="n">
        <v/>
      </c>
      <c r="L31" s="9" t="n">
        <v/>
      </c>
      <c r="M31" s="9" t="n">
        <v/>
      </c>
      <c r="N31" s="9" t="n">
        <v>0</v>
      </c>
      <c r="O31" s="9" t="n">
        <v>5000</v>
      </c>
      <c r="P31" s="10">
        <f>O31-N31</f>
        <v/>
      </c>
      <c r="Q31" s="9" t="inlineStr">
        <is>
          <t>true</t>
        </is>
      </c>
    </row>
    <row r="32">
      <c r="A32" s="9" t="inlineStr">
        <is>
          <t>unexplained_result_findetail_position.xlsx</t>
        </is>
      </c>
      <c r="B32" s="9" t="inlineStr">
        <is>
          <t>Drilldown</t>
        </is>
      </c>
      <c r="C32" s="9" t="inlineStr">
        <is>
          <t>Settlement</t>
        </is>
      </c>
      <c r="D32" s="9" t="inlineStr">
        <is>
          <t>new_post</t>
        </is>
      </c>
      <c r="E32" s="9" t="inlineStr">
        <is>
          <t>4776920</t>
        </is>
      </c>
      <c r="F32" s="9" t="inlineStr">
        <is>
          <t>2291836</t>
        </is>
      </c>
      <c r="G32" s="9" t="inlineStr">
        <is>
          <t>FINANCIAL</t>
        </is>
      </c>
      <c r="H32" s="9" t="inlineStr">
        <is>
          <t>SWAP</t>
        </is>
      </c>
      <c r="I32" s="9" t="inlineStr">
        <is>
          <t>Heating Degree Day</t>
        </is>
      </c>
      <c r="J32" s="9" t="inlineStr">
        <is>
          <t>Cincinatti Airport</t>
        </is>
      </c>
      <c r="K32" s="9" t="n">
        <v/>
      </c>
      <c r="L32" s="9" t="n">
        <v/>
      </c>
      <c r="M32" s="9" t="n">
        <v/>
      </c>
      <c r="N32" s="9" t="n">
        <v>0</v>
      </c>
      <c r="O32" s="9" t="n">
        <v>5000</v>
      </c>
      <c r="P32" s="10">
        <f>O32-N32</f>
        <v/>
      </c>
      <c r="Q32" s="9" t="inlineStr">
        <is>
          <t>true</t>
        </is>
      </c>
    </row>
    <row r="33">
      <c r="A33" s="9" t="inlineStr">
        <is>
          <t>unexplained_result_findetail_position.xlsx</t>
        </is>
      </c>
      <c r="B33" s="9" t="inlineStr">
        <is>
          <t>Drilldown</t>
        </is>
      </c>
      <c r="C33" s="9" t="inlineStr">
        <is>
          <t>Settlement</t>
        </is>
      </c>
      <c r="D33" s="9" t="inlineStr">
        <is>
          <t>new_post</t>
        </is>
      </c>
      <c r="E33" s="9" t="inlineStr">
        <is>
          <t>4778254</t>
        </is>
      </c>
      <c r="F33" s="9" t="inlineStr">
        <is>
          <t>2292072</t>
        </is>
      </c>
      <c r="G33" s="9" t="inlineStr">
        <is>
          <t>FINANCIAL</t>
        </is>
      </c>
      <c r="H33" s="9" t="inlineStr">
        <is>
          <t>SWAP</t>
        </is>
      </c>
      <c r="I33" s="9" t="inlineStr">
        <is>
          <t>Heating Degree Day</t>
        </is>
      </c>
      <c r="J33" s="9" t="inlineStr">
        <is>
          <t>Cincinatti Airport</t>
        </is>
      </c>
      <c r="K33" s="9" t="n">
        <v/>
      </c>
      <c r="L33" s="9" t="n">
        <v/>
      </c>
      <c r="M33" s="9" t="n">
        <v/>
      </c>
      <c r="N33" s="9" t="n">
        <v>0</v>
      </c>
      <c r="O33" s="9" t="n">
        <v>5000</v>
      </c>
      <c r="P33" s="10">
        <f>O33-N33</f>
        <v/>
      </c>
      <c r="Q33" s="9" t="inlineStr">
        <is>
          <t>true</t>
        </is>
      </c>
    </row>
    <row r="34">
      <c r="A34" s="9" t="inlineStr">
        <is>
          <t>unexplained_result_findetail_position.xlsx</t>
        </is>
      </c>
      <c r="B34" s="9" t="inlineStr">
        <is>
          <t>Drilldown</t>
        </is>
      </c>
      <c r="C34" s="9" t="inlineStr">
        <is>
          <t>Settlement</t>
        </is>
      </c>
      <c r="D34" s="9" t="inlineStr">
        <is>
          <t>new_post</t>
        </is>
      </c>
      <c r="E34" s="9" t="inlineStr">
        <is>
          <t>4778271</t>
        </is>
      </c>
      <c r="F34" s="9" t="inlineStr">
        <is>
          <t>2292081</t>
        </is>
      </c>
      <c r="G34" s="9" t="inlineStr">
        <is>
          <t>FINANCIAL</t>
        </is>
      </c>
      <c r="H34" s="9" t="inlineStr">
        <is>
          <t>SWAP</t>
        </is>
      </c>
      <c r="I34" s="9" t="inlineStr">
        <is>
          <t>Heating Degree Day</t>
        </is>
      </c>
      <c r="J34" s="9" t="inlineStr">
        <is>
          <t>Cincinatti Airport</t>
        </is>
      </c>
      <c r="K34" s="9" t="n">
        <v/>
      </c>
      <c r="L34" s="9" t="n">
        <v/>
      </c>
      <c r="M34" s="9" t="n">
        <v/>
      </c>
      <c r="N34" s="9" t="n">
        <v>0</v>
      </c>
      <c r="O34" s="9" t="n">
        <v>10000</v>
      </c>
      <c r="P34" s="10">
        <f>O34-N34</f>
        <v/>
      </c>
      <c r="Q34" s="9" t="inlineStr">
        <is>
          <t>true</t>
        </is>
      </c>
    </row>
    <row r="35">
      <c r="A35" s="9" t="inlineStr">
        <is>
          <t>unexplained_result_findetail_position.xlsx</t>
        </is>
      </c>
      <c r="B35" s="9" t="inlineStr">
        <is>
          <t>Drilldown</t>
        </is>
      </c>
      <c r="C35" s="9" t="inlineStr">
        <is>
          <t>Settlement</t>
        </is>
      </c>
      <c r="D35" s="9" t="inlineStr">
        <is>
          <t>new_post</t>
        </is>
      </c>
      <c r="E35" s="9" t="inlineStr">
        <is>
          <t>4778272</t>
        </is>
      </c>
      <c r="F35" s="9" t="inlineStr">
        <is>
          <t>2292080</t>
        </is>
      </c>
      <c r="G35" s="9" t="inlineStr">
        <is>
          <t>FINANCIAL</t>
        </is>
      </c>
      <c r="H35" s="9" t="inlineStr">
        <is>
          <t>SWAP</t>
        </is>
      </c>
      <c r="I35" s="9" t="inlineStr">
        <is>
          <t>Heating Degree Day</t>
        </is>
      </c>
      <c r="J35" s="9" t="inlineStr">
        <is>
          <t>Cincinatti Airport</t>
        </is>
      </c>
      <c r="K35" s="9" t="n">
        <v/>
      </c>
      <c r="L35" s="9" t="n">
        <v/>
      </c>
      <c r="M35" s="9" t="n">
        <v/>
      </c>
      <c r="N35" s="9" t="n">
        <v>0</v>
      </c>
      <c r="O35" s="9" t="n">
        <v>5000</v>
      </c>
      <c r="P35" s="10">
        <f>O35-N35</f>
        <v/>
      </c>
      <c r="Q35" s="9" t="inlineStr">
        <is>
          <t>true</t>
        </is>
      </c>
    </row>
    <row r="36">
      <c r="A36" s="9" t="inlineStr">
        <is>
          <t>unexplained_result_findetail_position.xlsx</t>
        </is>
      </c>
      <c r="B36" s="9" t="inlineStr">
        <is>
          <t>Drilldown</t>
        </is>
      </c>
      <c r="C36" s="9" t="inlineStr">
        <is>
          <t>Settlement</t>
        </is>
      </c>
      <c r="D36" s="9" t="inlineStr">
        <is>
          <t>new_post</t>
        </is>
      </c>
      <c r="E36" s="9" t="inlineStr">
        <is>
          <t>4778279</t>
        </is>
      </c>
      <c r="F36" s="9" t="inlineStr">
        <is>
          <t>2292084</t>
        </is>
      </c>
      <c r="G36" s="9" t="inlineStr">
        <is>
          <t>FINANCIAL</t>
        </is>
      </c>
      <c r="H36" s="9" t="inlineStr">
        <is>
          <t>SWAP</t>
        </is>
      </c>
      <c r="I36" s="9" t="inlineStr">
        <is>
          <t>Heating Degree Day</t>
        </is>
      </c>
      <c r="J36" s="9" t="inlineStr">
        <is>
          <t>Cincinatti Airport</t>
        </is>
      </c>
      <c r="K36" s="9" t="n">
        <v/>
      </c>
      <c r="L36" s="9" t="n">
        <v/>
      </c>
      <c r="M36" s="9" t="n">
        <v/>
      </c>
      <c r="N36" s="9" t="n">
        <v>0</v>
      </c>
      <c r="O36" s="9" t="n">
        <v>5000</v>
      </c>
      <c r="P36" s="10">
        <f>O36-N36</f>
        <v/>
      </c>
      <c r="Q36" s="9" t="inlineStr">
        <is>
          <t>true</t>
        </is>
      </c>
    </row>
    <row r="37">
      <c r="A37" s="9" t="inlineStr">
        <is>
          <t>unexplained_result_findetail_position.xlsx</t>
        </is>
      </c>
      <c r="B37" s="9" t="inlineStr">
        <is>
          <t>Drilldown</t>
        </is>
      </c>
      <c r="C37" s="9" t="inlineStr">
        <is>
          <t>Settlement</t>
        </is>
      </c>
      <c r="D37" s="9" t="inlineStr">
        <is>
          <t>new_post</t>
        </is>
      </c>
      <c r="E37" s="9" t="inlineStr">
        <is>
          <t>4778295</t>
        </is>
      </c>
      <c r="F37" s="9" t="inlineStr">
        <is>
          <t>2292093</t>
        </is>
      </c>
      <c r="G37" s="9" t="inlineStr">
        <is>
          <t>FINANCIAL</t>
        </is>
      </c>
      <c r="H37" s="9" t="inlineStr">
        <is>
          <t>SWAP</t>
        </is>
      </c>
      <c r="I37" s="9" t="inlineStr">
        <is>
          <t>Heating Degree Day</t>
        </is>
      </c>
      <c r="J37" s="9" t="inlineStr">
        <is>
          <t>Cincinatti Airport</t>
        </is>
      </c>
      <c r="K37" s="9" t="n">
        <v/>
      </c>
      <c r="L37" s="9" t="n">
        <v/>
      </c>
      <c r="M37" s="9" t="n">
        <v/>
      </c>
      <c r="N37" s="9" t="n">
        <v>0</v>
      </c>
      <c r="O37" s="9" t="n">
        <v>5000</v>
      </c>
      <c r="P37" s="10">
        <f>O37-N37</f>
        <v/>
      </c>
      <c r="Q37" s="9" t="inlineStr">
        <is>
          <t>true</t>
        </is>
      </c>
    </row>
    <row r="38">
      <c r="A38" s="9" t="inlineStr">
        <is>
          <t>unexplained_result_findetail_position.xlsx</t>
        </is>
      </c>
      <c r="B38" s="9" t="inlineStr">
        <is>
          <t>Drilldown</t>
        </is>
      </c>
      <c r="C38" s="9" t="inlineStr">
        <is>
          <t>Settlement</t>
        </is>
      </c>
      <c r="D38" s="9" t="inlineStr">
        <is>
          <t>new_post</t>
        </is>
      </c>
      <c r="E38" s="9" t="inlineStr">
        <is>
          <t>4778297</t>
        </is>
      </c>
      <c r="F38" s="9" t="inlineStr">
        <is>
          <t>2292092</t>
        </is>
      </c>
      <c r="G38" s="9" t="inlineStr">
        <is>
          <t>FINANCIAL</t>
        </is>
      </c>
      <c r="H38" s="9" t="inlineStr">
        <is>
          <t>SWAP</t>
        </is>
      </c>
      <c r="I38" s="9" t="inlineStr">
        <is>
          <t>Heating Degree Day</t>
        </is>
      </c>
      <c r="J38" s="9" t="inlineStr">
        <is>
          <t>Cincinatti Airport</t>
        </is>
      </c>
      <c r="K38" s="9" t="n">
        <v/>
      </c>
      <c r="L38" s="9" t="n">
        <v/>
      </c>
      <c r="M38" s="9" t="n">
        <v/>
      </c>
      <c r="N38" s="9" t="n">
        <v>0</v>
      </c>
      <c r="O38" s="9" t="n">
        <v>10000</v>
      </c>
      <c r="P38" s="10">
        <f>O38-N38</f>
        <v/>
      </c>
      <c r="Q38" s="9" t="inlineStr">
        <is>
          <t>true</t>
        </is>
      </c>
    </row>
    <row r="39">
      <c r="A39" s="9" t="inlineStr">
        <is>
          <t>unexplained_result_findetail_position.xlsx</t>
        </is>
      </c>
      <c r="B39" s="9" t="inlineStr">
        <is>
          <t>Drilldown</t>
        </is>
      </c>
      <c r="C39" s="9" t="inlineStr">
        <is>
          <t>Settlement</t>
        </is>
      </c>
      <c r="D39" s="9" t="inlineStr">
        <is>
          <t>new_post</t>
        </is>
      </c>
      <c r="E39" s="9" t="inlineStr">
        <is>
          <t>4861605</t>
        </is>
      </c>
      <c r="F39" s="9" t="inlineStr">
        <is>
          <t>2320121</t>
        </is>
      </c>
      <c r="G39" s="9" t="inlineStr">
        <is>
          <t>FINANCIAL</t>
        </is>
      </c>
      <c r="H39" s="9" t="inlineStr">
        <is>
          <t>SWAP</t>
        </is>
      </c>
      <c r="I39" s="9" t="inlineStr">
        <is>
          <t>Heating Degree Day</t>
        </is>
      </c>
      <c r="J39" s="9" t="inlineStr">
        <is>
          <t>Cincinatti Airport</t>
        </is>
      </c>
      <c r="K39" s="9" t="n">
        <v/>
      </c>
      <c r="L39" s="9" t="n">
        <v/>
      </c>
      <c r="M39" s="9" t="n">
        <v/>
      </c>
      <c r="N39" s="9" t="n">
        <v>0</v>
      </c>
      <c r="O39" s="9" t="n">
        <v>16000</v>
      </c>
      <c r="P39" s="10">
        <f>O39-N39</f>
        <v/>
      </c>
      <c r="Q39" s="9" t="inlineStr">
        <is>
          <t>true</t>
        </is>
      </c>
    </row>
    <row r="40">
      <c r="A40" s="9" t="inlineStr">
        <is>
          <t>unexplained_result_findetail_position.xlsx</t>
        </is>
      </c>
      <c r="B40" s="9" t="inlineStr">
        <is>
          <t>Drilldown</t>
        </is>
      </c>
      <c r="C40" s="9" t="inlineStr">
        <is>
          <t>Settlement</t>
        </is>
      </c>
      <c r="D40" s="9" t="inlineStr">
        <is>
          <t>new_post</t>
        </is>
      </c>
      <c r="E40" s="9" t="inlineStr">
        <is>
          <t>4861624</t>
        </is>
      </c>
      <c r="F40" s="9" t="inlineStr">
        <is>
          <t>2320140</t>
        </is>
      </c>
      <c r="G40" s="9" t="inlineStr">
        <is>
          <t>FINANCIAL</t>
        </is>
      </c>
      <c r="H40" s="9" t="inlineStr">
        <is>
          <t>SWAP</t>
        </is>
      </c>
      <c r="I40" s="9" t="inlineStr">
        <is>
          <t>Heating Degree Day</t>
        </is>
      </c>
      <c r="J40" s="9" t="inlineStr">
        <is>
          <t>Cincinatti Airport</t>
        </is>
      </c>
      <c r="K40" s="9" t="n">
        <v/>
      </c>
      <c r="L40" s="9" t="n">
        <v/>
      </c>
      <c r="M40" s="9" t="n">
        <v/>
      </c>
      <c r="N40" s="9" t="n">
        <v>0</v>
      </c>
      <c r="O40" s="9" t="n">
        <v>4000</v>
      </c>
      <c r="P40" s="10">
        <f>O40-N40</f>
        <v/>
      </c>
      <c r="Q40" s="9" t="inlineStr">
        <is>
          <t>true</t>
        </is>
      </c>
    </row>
    <row r="41">
      <c r="A41" s="9" t="inlineStr">
        <is>
          <t>unexplained_result_findetail_position.xlsx</t>
        </is>
      </c>
      <c r="B41" s="9" t="inlineStr">
        <is>
          <t>Drilldown</t>
        </is>
      </c>
      <c r="C41" s="9" t="inlineStr">
        <is>
          <t>Settlement</t>
        </is>
      </c>
      <c r="D41" s="9" t="inlineStr">
        <is>
          <t>new_post</t>
        </is>
      </c>
      <c r="E41" s="9" t="inlineStr">
        <is>
          <t>4863095</t>
        </is>
      </c>
      <c r="F41" s="9" t="inlineStr">
        <is>
          <t>2320256</t>
        </is>
      </c>
      <c r="G41" s="9" t="inlineStr">
        <is>
          <t>FINANCIAL</t>
        </is>
      </c>
      <c r="H41" s="9" t="inlineStr">
        <is>
          <t>SWAP</t>
        </is>
      </c>
      <c r="I41" s="9" t="inlineStr">
        <is>
          <t>Heating Degree Day</t>
        </is>
      </c>
      <c r="J41" s="9" t="inlineStr">
        <is>
          <t>Cincinatti Airport</t>
        </is>
      </c>
      <c r="K41" s="9" t="n">
        <v/>
      </c>
      <c r="L41" s="9" t="n">
        <v/>
      </c>
      <c r="M41" s="9" t="n">
        <v/>
      </c>
      <c r="N41" s="9" t="n">
        <v>0</v>
      </c>
      <c r="O41" s="9" t="n">
        <v>4000</v>
      </c>
      <c r="P41" s="10">
        <f>O41-N41</f>
        <v/>
      </c>
      <c r="Q41" s="9" t="inlineStr">
        <is>
          <t>true</t>
        </is>
      </c>
    </row>
    <row r="42">
      <c r="A42" s="9" t="inlineStr">
        <is>
          <t>unexplained_result_findetail_position.xlsx</t>
        </is>
      </c>
      <c r="B42" s="9" t="inlineStr">
        <is>
          <t>Drilldown</t>
        </is>
      </c>
      <c r="C42" s="9" t="inlineStr">
        <is>
          <t>Settlement</t>
        </is>
      </c>
      <c r="D42" s="9" t="inlineStr">
        <is>
          <t>new_post</t>
        </is>
      </c>
      <c r="E42" s="9" t="inlineStr">
        <is>
          <t>4863103</t>
        </is>
      </c>
      <c r="F42" s="9" t="inlineStr">
        <is>
          <t>2320264</t>
        </is>
      </c>
      <c r="G42" s="9" t="inlineStr">
        <is>
          <t>FINANCIAL</t>
        </is>
      </c>
      <c r="H42" s="9" t="inlineStr">
        <is>
          <t>SWAP</t>
        </is>
      </c>
      <c r="I42" s="9" t="inlineStr">
        <is>
          <t>Heating Degree Day</t>
        </is>
      </c>
      <c r="J42" s="9" t="inlineStr">
        <is>
          <t>Cincinatti Airport</t>
        </is>
      </c>
      <c r="K42" s="9" t="n">
        <v/>
      </c>
      <c r="L42" s="9" t="n">
        <v/>
      </c>
      <c r="M42" s="9" t="n">
        <v/>
      </c>
      <c r="N42" s="9" t="n">
        <v>0</v>
      </c>
      <c r="O42" s="9" t="n">
        <v>16000</v>
      </c>
      <c r="P42" s="10">
        <f>O42-N42</f>
        <v/>
      </c>
      <c r="Q42" s="9" t="inlineStr">
        <is>
          <t>true</t>
        </is>
      </c>
    </row>
    <row r="43">
      <c r="A43" s="9" t="inlineStr">
        <is>
          <t>unexplained_result_findetail_position.xlsx</t>
        </is>
      </c>
      <c r="B43" s="9" t="inlineStr">
        <is>
          <t>Drilldown</t>
        </is>
      </c>
      <c r="C43" s="9" t="inlineStr">
        <is>
          <t>Settlement</t>
        </is>
      </c>
      <c r="D43" s="9" t="inlineStr">
        <is>
          <t>new_post</t>
        </is>
      </c>
      <c r="E43" s="9" t="inlineStr">
        <is>
          <t>4863110</t>
        </is>
      </c>
      <c r="F43" s="9" t="inlineStr">
        <is>
          <t>2320271</t>
        </is>
      </c>
      <c r="G43" s="9" t="inlineStr">
        <is>
          <t>FINANCIAL</t>
        </is>
      </c>
      <c r="H43" s="9" t="inlineStr">
        <is>
          <t>SWAP</t>
        </is>
      </c>
      <c r="I43" s="9" t="inlineStr">
        <is>
          <t>Heating Degree Day</t>
        </is>
      </c>
      <c r="J43" s="9" t="inlineStr">
        <is>
          <t>Cincinatti Airport</t>
        </is>
      </c>
      <c r="K43" s="9" t="n">
        <v/>
      </c>
      <c r="L43" s="9" t="n">
        <v/>
      </c>
      <c r="M43" s="9" t="n">
        <v/>
      </c>
      <c r="N43" s="9" t="n">
        <v>0</v>
      </c>
      <c r="O43" s="9" t="n">
        <v>4000</v>
      </c>
      <c r="P43" s="10">
        <f>O43-N43</f>
        <v/>
      </c>
      <c r="Q43" s="9" t="inlineStr">
        <is>
          <t>true</t>
        </is>
      </c>
    </row>
    <row r="44">
      <c r="A44" s="9" t="inlineStr">
        <is>
          <t>unexplained_result_findetail_position.xlsx</t>
        </is>
      </c>
      <c r="B44" s="9" t="inlineStr">
        <is>
          <t>Drilldown</t>
        </is>
      </c>
      <c r="C44" s="9" t="inlineStr">
        <is>
          <t>Settlement</t>
        </is>
      </c>
      <c r="D44" s="9" t="inlineStr">
        <is>
          <t>new_post</t>
        </is>
      </c>
      <c r="E44" s="9" t="inlineStr">
        <is>
          <t>4863114</t>
        </is>
      </c>
      <c r="F44" s="9" t="inlineStr">
        <is>
          <t>2320275</t>
        </is>
      </c>
      <c r="G44" s="9" t="inlineStr">
        <is>
          <t>FINANCIAL</t>
        </is>
      </c>
      <c r="H44" s="9" t="inlineStr">
        <is>
          <t>SWAP</t>
        </is>
      </c>
      <c r="I44" s="9" t="inlineStr">
        <is>
          <t>Heating Degree Day</t>
        </is>
      </c>
      <c r="J44" s="9" t="inlineStr">
        <is>
          <t>Cincinatti Airport</t>
        </is>
      </c>
      <c r="K44" s="9" t="n">
        <v/>
      </c>
      <c r="L44" s="9" t="n">
        <v/>
      </c>
      <c r="M44" s="9" t="n">
        <v/>
      </c>
      <c r="N44" s="9" t="n">
        <v>0</v>
      </c>
      <c r="O44" s="9" t="n">
        <v>16000</v>
      </c>
      <c r="P44" s="10">
        <f>O44-N44</f>
        <v/>
      </c>
      <c r="Q44" s="9" t="inlineStr">
        <is>
          <t>true</t>
        </is>
      </c>
    </row>
    <row r="45">
      <c r="A45" s="8" t="inlineStr">
        <is>
          <t>ISSUE - Missing position (post)  (1 rows)</t>
        </is>
      </c>
    </row>
    <row r="46">
      <c r="A46" s="11" t="inlineStr">
        <is>
          <t>unexplained_result_findetail_position.xlsx</t>
        </is>
      </c>
      <c r="B46" s="11" t="inlineStr">
        <is>
          <t>Drilldown</t>
        </is>
      </c>
      <c r="C46" s="11" t="inlineStr">
        <is>
          <t>Settlement</t>
        </is>
      </c>
      <c r="D46" s="11" t="inlineStr">
        <is>
          <t>missing_post</t>
        </is>
      </c>
      <c r="E46" s="11" t="n">
        <v>3247645</v>
      </c>
      <c r="F46" s="11" t="inlineStr">
        <is>
          <t>1787963</t>
        </is>
      </c>
      <c r="G46" s="11" t="inlineStr">
        <is>
          <t>PHYSICAL</t>
        </is>
      </c>
      <c r="H46" s="11" t="inlineStr">
        <is>
          <t>BUY</t>
        </is>
      </c>
      <c r="I46" s="11" t="inlineStr">
        <is>
          <t>Natural Gas</t>
        </is>
      </c>
      <c r="J46" s="11" t="inlineStr">
        <is>
          <t>Houston Ship Channel</t>
        </is>
      </c>
      <c r="K46" s="11" t="n">
        <v/>
      </c>
      <c r="L46" s="11" t="n">
        <v/>
      </c>
      <c r="M46" s="11" t="n">
        <v/>
      </c>
      <c r="N46" s="11" t="n">
        <v>0</v>
      </c>
      <c r="O46" s="11" t="n">
        <v>0</v>
      </c>
      <c r="P46" s="12">
        <f>O46-N46</f>
        <v/>
      </c>
      <c r="Q46" s="11" t="inlineStr">
        <is>
          <t>true</t>
        </is>
      </c>
    </row>
    <row r="47">
      <c r="A47" s="8" t="inlineStr">
        <is>
          <t>FALSE - no issue  (3 rows)</t>
        </is>
      </c>
    </row>
    <row r="48">
      <c r="A48" s="13" t="inlineStr">
        <is>
          <t>unexplained_result_findetail_position.xlsx</t>
        </is>
      </c>
      <c r="B48" s="13" t="inlineStr">
        <is>
          <t>Drilldown</t>
        </is>
      </c>
      <c r="C48" s="13" t="inlineStr">
        <is>
          <t>Settlement</t>
        </is>
      </c>
      <c r="D48" s="13" t="inlineStr">
        <is>
          <t>mismatch</t>
        </is>
      </c>
      <c r="E48" s="13" t="n">
        <v>4893021</v>
      </c>
      <c r="F48" s="13" t="inlineStr">
        <is>
          <t>2333050</t>
        </is>
      </c>
      <c r="G48" s="13" t="inlineStr">
        <is>
          <t>PHYSICAL</t>
        </is>
      </c>
      <c r="H48" s="13" t="inlineStr">
        <is>
          <t>BUY</t>
        </is>
      </c>
      <c r="I48" s="13" t="inlineStr">
        <is>
          <t>Gas Transportation</t>
        </is>
      </c>
      <c r="J48" s="13" t="inlineStr">
        <is>
          <t>TET M2</t>
        </is>
      </c>
      <c r="K48" s="13" t="n">
        <v/>
      </c>
      <c r="L48" s="13" t="n">
        <v/>
      </c>
      <c r="M48" s="13" t="n">
        <v/>
      </c>
      <c r="N48" s="13" t="n">
        <v>786</v>
      </c>
      <c r="O48" s="13" t="n">
        <v>786</v>
      </c>
      <c r="P48" s="14">
        <f>O48-N48</f>
        <v/>
      </c>
      <c r="Q48" s="13" t="inlineStr">
        <is>
          <t>false</t>
        </is>
      </c>
    </row>
    <row r="49">
      <c r="A49" s="13" t="inlineStr">
        <is>
          <t>unexplained_result_findetail_position.xlsx</t>
        </is>
      </c>
      <c r="B49" s="13" t="inlineStr">
        <is>
          <t>Drilldown</t>
        </is>
      </c>
      <c r="C49" s="13" t="inlineStr">
        <is>
          <t>Settlement</t>
        </is>
      </c>
      <c r="D49" s="13" t="inlineStr">
        <is>
          <t>mismatch</t>
        </is>
      </c>
      <c r="E49" s="13" t="n">
        <v>4760336</v>
      </c>
      <c r="F49" s="13" t="inlineStr">
        <is>
          <t>2286187</t>
        </is>
      </c>
      <c r="G49" s="13" t="inlineStr">
        <is>
          <t>PHYSICAL</t>
        </is>
      </c>
      <c r="H49" s="13" t="inlineStr">
        <is>
          <t>BUY</t>
        </is>
      </c>
      <c r="I49" s="13" t="inlineStr">
        <is>
          <t>Gas Transportation</t>
        </is>
      </c>
      <c r="J49" s="13" t="inlineStr">
        <is>
          <t>PGE CG</t>
        </is>
      </c>
      <c r="K49" s="13" t="n">
        <v/>
      </c>
      <c r="L49" s="13" t="n">
        <v/>
      </c>
      <c r="M49" s="13" t="n">
        <v/>
      </c>
      <c r="N49" s="13" t="n">
        <v>1897</v>
      </c>
      <c r="O49" s="13" t="n">
        <v>1897</v>
      </c>
      <c r="P49" s="14">
        <f>O49-N49</f>
        <v/>
      </c>
      <c r="Q49" s="13" t="inlineStr">
        <is>
          <t>false</t>
        </is>
      </c>
    </row>
    <row r="50">
      <c r="A50" s="13" t="inlineStr">
        <is>
          <t>unexplained_result_findetail_position.xlsx</t>
        </is>
      </c>
      <c r="B50" s="13" t="inlineStr">
        <is>
          <t>Drilldown</t>
        </is>
      </c>
      <c r="C50" s="13" t="inlineStr">
        <is>
          <t>Settlement</t>
        </is>
      </c>
      <c r="D50" s="13" t="inlineStr">
        <is>
          <t>mismatch</t>
        </is>
      </c>
      <c r="E50" s="13" t="n">
        <v>4902289</v>
      </c>
      <c r="F50" s="13" t="inlineStr">
        <is>
          <t>2334927</t>
        </is>
      </c>
      <c r="G50" s="13" t="inlineStr">
        <is>
          <t>PHYSICAL</t>
        </is>
      </c>
      <c r="H50" s="13" t="inlineStr">
        <is>
          <t>BUY</t>
        </is>
      </c>
      <c r="I50" s="13" t="inlineStr">
        <is>
          <t>ULSD</t>
        </is>
      </c>
      <c r="J50" s="13" t="inlineStr">
        <is>
          <t>Hopewell Plant</t>
        </is>
      </c>
      <c r="K50" s="13" t="n">
        <v/>
      </c>
      <c r="L50" s="13" t="n">
        <v/>
      </c>
      <c r="M50" s="13" t="n">
        <v/>
      </c>
      <c r="N50" s="13" t="n">
        <v>0</v>
      </c>
      <c r="O50" s="13" t="n">
        <v>0</v>
      </c>
      <c r="P50" s="14">
        <f>O50-N50</f>
        <v/>
      </c>
      <c r="Q50" s="13" t="inlineStr">
        <is>
          <t>false</t>
        </is>
      </c>
    </row>
  </sheetData>
  <mergeCells count="4">
    <mergeCell ref="A45:Q45"/>
    <mergeCell ref="A47:Q47"/>
    <mergeCell ref="A5:Q5"/>
    <mergeCell ref="A9:Q9"/>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50"/>
  <sheetViews>
    <sheetView showGridLines="0" workbookViewId="0">
      <pane ySplit="3" topLeftCell="A4" activePane="bottomLeft" state="frozen"/>
      <selection pane="bottomLeft"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6" customWidth="1" min="14" max="14"/>
    <col width="16" customWidth="1" min="15" max="15"/>
    <col width="16" customWidth="1" min="16" max="16"/>
    <col width="10" customWidth="1" min="17" max="17"/>
  </cols>
  <sheetData>
    <row r="1">
      <c r="A1" s="1" t="inlineStr">
        <is>
          <t>Triage: qty_mismatch</t>
        </is>
      </c>
    </row>
    <row r="2">
      <c r="A2" s="2" t="inlineStr">
        <is>
          <t>Rows grouped by mismatch type (each is a distinct issue), then FALSE (no issue).</t>
        </is>
      </c>
    </row>
    <row r="4">
      <c r="A4" s="3" t="inlineStr">
        <is>
          <t>source_file</t>
        </is>
      </c>
      <c r="B4" s="3" t="inlineStr">
        <is>
          <t>sheet_name</t>
        </is>
      </c>
      <c r="C4" s="3" t="inlineStr">
        <is>
          <t>process_type</t>
        </is>
      </c>
      <c r="D4" s="3" t="inlineStr">
        <is>
          <t>mismatchtype</t>
        </is>
      </c>
      <c r="E4" s="3" t="inlineStr">
        <is>
          <t>position</t>
        </is>
      </c>
      <c r="F4" s="3" t="inlineStr">
        <is>
          <t>trade</t>
        </is>
      </c>
      <c r="G4" s="3" t="inlineStr">
        <is>
          <t>positionmode</t>
        </is>
      </c>
      <c r="H4" s="3" t="inlineStr">
        <is>
          <t>positiontype</t>
        </is>
      </c>
      <c r="I4" s="3" t="inlineStr">
        <is>
          <t>product</t>
        </is>
      </c>
      <c r="J4" s="3" t="inlineStr">
        <is>
          <t>marketarea</t>
        </is>
      </c>
      <c r="K4" s="3" t="inlineStr">
        <is>
          <t>var_category</t>
        </is>
      </c>
      <c r="L4" s="3" t="inlineStr">
        <is>
          <t>var_id</t>
        </is>
      </c>
      <c r="M4" s="3" t="inlineStr">
        <is>
          <t>comments</t>
        </is>
      </c>
      <c r="N4" s="3" t="inlineStr">
        <is>
          <t>pre_quantitysum</t>
        </is>
      </c>
      <c r="O4" s="3" t="inlineStr">
        <is>
          <t>post_quantitysum</t>
        </is>
      </c>
      <c r="P4" s="3" t="inlineStr">
        <is>
          <t>difference (post - pre)</t>
        </is>
      </c>
      <c r="Q4" s="3" t="inlineStr">
        <is>
          <t>qty_mismatch</t>
        </is>
      </c>
    </row>
    <row r="5">
      <c r="A5" s="8" t="inlineStr">
        <is>
          <t>ISSUE - Mismatch  (3 rows)</t>
        </is>
      </c>
    </row>
    <row r="6">
      <c r="A6" s="15" t="inlineStr">
        <is>
          <t>unexplained_result_findetail_position.xlsx</t>
        </is>
      </c>
      <c r="B6" s="15" t="inlineStr">
        <is>
          <t>Drilldown</t>
        </is>
      </c>
      <c r="C6" s="15" t="inlineStr">
        <is>
          <t>Settlement</t>
        </is>
      </c>
      <c r="D6" s="15" t="inlineStr">
        <is>
          <t>mismatch</t>
        </is>
      </c>
      <c r="E6" s="15" t="n">
        <v>1248020</v>
      </c>
      <c r="F6" s="15" t="inlineStr">
        <is>
          <t>1083565</t>
        </is>
      </c>
      <c r="G6" s="15" t="inlineStr">
        <is>
          <t>PHYSICAL</t>
        </is>
      </c>
      <c r="H6" s="15" t="inlineStr">
        <is>
          <t>BUY</t>
        </is>
      </c>
      <c r="I6" s="15" t="inlineStr">
        <is>
          <t>Gas Storage</t>
        </is>
      </c>
      <c r="J6" s="15" t="inlineStr">
        <is>
          <t>Chicago City Gates</t>
        </is>
      </c>
      <c r="K6" s="15" t="n">
        <v/>
      </c>
      <c r="L6" s="15" t="n">
        <v/>
      </c>
      <c r="M6" s="15" t="n">
        <v/>
      </c>
      <c r="N6" s="15" t="n">
        <v>5833.3333</v>
      </c>
      <c r="O6" s="15" t="n">
        <v>5833</v>
      </c>
      <c r="P6" s="16">
        <f>O6-N6</f>
        <v/>
      </c>
      <c r="Q6" s="15" t="inlineStr">
        <is>
          <t>true</t>
        </is>
      </c>
    </row>
    <row r="7">
      <c r="A7" s="15" t="inlineStr">
        <is>
          <t>unexplained_result_findetail_position.xlsx</t>
        </is>
      </c>
      <c r="B7" s="15" t="inlineStr">
        <is>
          <t>Drilldown</t>
        </is>
      </c>
      <c r="C7" s="15" t="inlineStr">
        <is>
          <t>Settlement</t>
        </is>
      </c>
      <c r="D7" s="15" t="inlineStr">
        <is>
          <t>mismatch</t>
        </is>
      </c>
      <c r="E7" s="15" t="n">
        <v>2706967</v>
      </c>
      <c r="F7" s="15" t="inlineStr">
        <is>
          <t>1634623</t>
        </is>
      </c>
      <c r="G7" s="15" t="inlineStr">
        <is>
          <t>PHYSICAL</t>
        </is>
      </c>
      <c r="H7" s="15" t="inlineStr">
        <is>
          <t>BUY</t>
        </is>
      </c>
      <c r="I7" s="15" t="inlineStr">
        <is>
          <t>Gas Storage</t>
        </is>
      </c>
      <c r="J7" s="15" t="inlineStr">
        <is>
          <t>Worsham Storage</t>
        </is>
      </c>
      <c r="K7" s="15" t="n">
        <v/>
      </c>
      <c r="L7" s="15" t="n">
        <v/>
      </c>
      <c r="M7" s="15" t="n">
        <v/>
      </c>
      <c r="N7" s="15" t="n">
        <v>2180.5393</v>
      </c>
      <c r="O7" s="15" t="n">
        <v>2181</v>
      </c>
      <c r="P7" s="16">
        <f>O7-N7</f>
        <v/>
      </c>
      <c r="Q7" s="15" t="inlineStr">
        <is>
          <t>true</t>
        </is>
      </c>
    </row>
    <row r="8">
      <c r="A8" s="15" t="inlineStr">
        <is>
          <t>unexplained_result_findetail_position.xlsx</t>
        </is>
      </c>
      <c r="B8" s="15" t="inlineStr">
        <is>
          <t>Drilldown</t>
        </is>
      </c>
      <c r="C8" s="15" t="inlineStr">
        <is>
          <t>Settlement</t>
        </is>
      </c>
      <c r="D8" s="15" t="inlineStr">
        <is>
          <t>mismatch</t>
        </is>
      </c>
      <c r="E8" s="15" t="n">
        <v>3718624</v>
      </c>
      <c r="F8" s="15" t="inlineStr">
        <is>
          <t>1953951</t>
        </is>
      </c>
      <c r="G8" s="15" t="inlineStr">
        <is>
          <t>PHYSICAL</t>
        </is>
      </c>
      <c r="H8" s="15" t="inlineStr">
        <is>
          <t>BUY</t>
        </is>
      </c>
      <c r="I8" s="15" t="inlineStr">
        <is>
          <t>REC Texas</t>
        </is>
      </c>
      <c r="J8" s="15" t="inlineStr">
        <is>
          <t>REC V2026</t>
        </is>
      </c>
      <c r="K8" s="15" t="n">
        <v/>
      </c>
      <c r="L8" s="15" t="n">
        <v/>
      </c>
      <c r="M8" s="15" t="n">
        <v/>
      </c>
      <c r="N8" s="15" t="n">
        <v>24910.16</v>
      </c>
      <c r="O8" s="15" t="n">
        <v>24910</v>
      </c>
      <c r="P8" s="16">
        <f>O8-N8</f>
        <v/>
      </c>
      <c r="Q8" s="15" t="inlineStr">
        <is>
          <t>true</t>
        </is>
      </c>
    </row>
    <row r="9">
      <c r="A9" s="8" t="inlineStr">
        <is>
          <t>ISSUE - New position (post only)  (35 rows)</t>
        </is>
      </c>
    </row>
    <row r="10">
      <c r="A10" s="9" t="inlineStr">
        <is>
          <t>unexplained_result_findetail_position.xlsx</t>
        </is>
      </c>
      <c r="B10" s="9" t="inlineStr">
        <is>
          <t>Drilldown</t>
        </is>
      </c>
      <c r="C10" s="9" t="inlineStr">
        <is>
          <t>Settlement</t>
        </is>
      </c>
      <c r="D10" s="9" t="inlineStr">
        <is>
          <t>new_post</t>
        </is>
      </c>
      <c r="E10" s="9" t="n">
        <v>4347266</v>
      </c>
      <c r="F10" s="9" t="n">
        <v/>
      </c>
      <c r="G10" s="9" t="inlineStr">
        <is>
          <t>PHYSICAL</t>
        </is>
      </c>
      <c r="H10" s="9" t="inlineStr">
        <is>
          <t>BUY</t>
        </is>
      </c>
      <c r="I10" s="9" t="inlineStr">
        <is>
          <t>Gas Transportation</t>
        </is>
      </c>
      <c r="J10" s="9" t="inlineStr">
        <is>
          <t>Tennessee Z4-200 Leg</t>
        </is>
      </c>
      <c r="K10" s="9" t="n">
        <v/>
      </c>
      <c r="L10" s="9" t="n">
        <v/>
      </c>
      <c r="M10" s="9" t="n">
        <v/>
      </c>
      <c r="N10" s="9" t="n">
        <v>0</v>
      </c>
      <c r="O10" s="9" t="n">
        <v>0</v>
      </c>
      <c r="P10" s="10">
        <f>O10-N10</f>
        <v/>
      </c>
      <c r="Q10" s="9" t="inlineStr">
        <is>
          <t>true</t>
        </is>
      </c>
    </row>
    <row r="11">
      <c r="A11" s="9" t="inlineStr">
        <is>
          <t>unexplained_result_findetail_position.xlsx</t>
        </is>
      </c>
      <c r="B11" s="9" t="inlineStr">
        <is>
          <t>Drilldown</t>
        </is>
      </c>
      <c r="C11" s="9" t="inlineStr">
        <is>
          <t>Settlement</t>
        </is>
      </c>
      <c r="D11" s="9" t="inlineStr">
        <is>
          <t>new_post</t>
        </is>
      </c>
      <c r="E11" s="9" t="n">
        <v>4676738</v>
      </c>
      <c r="F11" s="9" t="inlineStr">
        <is>
          <t>2258482</t>
        </is>
      </c>
      <c r="G11" s="9" t="inlineStr">
        <is>
          <t>FINANCIAL</t>
        </is>
      </c>
      <c r="H11" s="9" t="inlineStr">
        <is>
          <t>SWAP</t>
        </is>
      </c>
      <c r="I11" s="9" t="inlineStr">
        <is>
          <t>Heating Degree Day</t>
        </is>
      </c>
      <c r="J11" s="9" t="inlineStr">
        <is>
          <t>Chicago OHare Airport</t>
        </is>
      </c>
      <c r="K11" s="9" t="n">
        <v/>
      </c>
      <c r="L11" s="9" t="n">
        <v/>
      </c>
      <c r="M11" s="9" t="n">
        <v/>
      </c>
      <c r="N11" s="9" t="n">
        <v>0</v>
      </c>
      <c r="O11" s="9" t="n">
        <v>2000</v>
      </c>
      <c r="P11" s="10">
        <f>O11-N11</f>
        <v/>
      </c>
      <c r="Q11" s="9" t="inlineStr">
        <is>
          <t>true</t>
        </is>
      </c>
    </row>
    <row r="12">
      <c r="A12" s="9" t="inlineStr">
        <is>
          <t>unexplained_result_findetail_position.xlsx</t>
        </is>
      </c>
      <c r="B12" s="9" t="inlineStr">
        <is>
          <t>Drilldown</t>
        </is>
      </c>
      <c r="C12" s="9" t="inlineStr">
        <is>
          <t>Settlement</t>
        </is>
      </c>
      <c r="D12" s="9" t="inlineStr">
        <is>
          <t>new_post</t>
        </is>
      </c>
      <c r="E12" s="9" t="n">
        <v>4677600</v>
      </c>
      <c r="F12" s="9" t="inlineStr">
        <is>
          <t>2258847</t>
        </is>
      </c>
      <c r="G12" s="9" t="inlineStr">
        <is>
          <t>FINANCIAL</t>
        </is>
      </c>
      <c r="H12" s="9" t="inlineStr">
        <is>
          <t>SWAP</t>
        </is>
      </c>
      <c r="I12" s="9" t="inlineStr">
        <is>
          <t>Heating Degree Day</t>
        </is>
      </c>
      <c r="J12" s="9" t="inlineStr">
        <is>
          <t>Chicago OHare Airport</t>
        </is>
      </c>
      <c r="K12" s="9" t="n">
        <v/>
      </c>
      <c r="L12" s="9" t="n">
        <v/>
      </c>
      <c r="M12" s="9" t="n">
        <v/>
      </c>
      <c r="N12" s="9" t="n">
        <v>0</v>
      </c>
      <c r="O12" s="9" t="n">
        <v>2000</v>
      </c>
      <c r="P12" s="10">
        <f>O12-N12</f>
        <v/>
      </c>
      <c r="Q12" s="9" t="inlineStr">
        <is>
          <t>true</t>
        </is>
      </c>
    </row>
    <row r="13">
      <c r="A13" s="9" t="inlineStr">
        <is>
          <t>unexplained_result_findetail_position.xlsx</t>
        </is>
      </c>
      <c r="B13" s="9" t="inlineStr">
        <is>
          <t>Drilldown</t>
        </is>
      </c>
      <c r="C13" s="9" t="inlineStr">
        <is>
          <t>Settlement</t>
        </is>
      </c>
      <c r="D13" s="9" t="inlineStr">
        <is>
          <t>new_post</t>
        </is>
      </c>
      <c r="E13" s="9" t="n">
        <v>4677607</v>
      </c>
      <c r="F13" s="9" t="inlineStr">
        <is>
          <t>2258851</t>
        </is>
      </c>
      <c r="G13" s="9" t="inlineStr">
        <is>
          <t>FINANCIAL</t>
        </is>
      </c>
      <c r="H13" s="9" t="inlineStr">
        <is>
          <t>SWAP</t>
        </is>
      </c>
      <c r="I13" s="9" t="inlineStr">
        <is>
          <t>Heating Degree Day</t>
        </is>
      </c>
      <c r="J13" s="9" t="inlineStr">
        <is>
          <t>Chicago OHare Airport</t>
        </is>
      </c>
      <c r="K13" s="9" t="n">
        <v/>
      </c>
      <c r="L13" s="9" t="n">
        <v/>
      </c>
      <c r="M13" s="9" t="n">
        <v/>
      </c>
      <c r="N13" s="9" t="n">
        <v>0</v>
      </c>
      <c r="O13" s="9" t="n">
        <v>2000</v>
      </c>
      <c r="P13" s="10">
        <f>O13-N13</f>
        <v/>
      </c>
      <c r="Q13" s="9" t="inlineStr">
        <is>
          <t>true</t>
        </is>
      </c>
    </row>
    <row r="14">
      <c r="A14" s="9" t="inlineStr">
        <is>
          <t>unexplained_result_findetail_position.xlsx</t>
        </is>
      </c>
      <c r="B14" s="9" t="inlineStr">
        <is>
          <t>Drilldown</t>
        </is>
      </c>
      <c r="C14" s="9" t="inlineStr">
        <is>
          <t>Settlement</t>
        </is>
      </c>
      <c r="D14" s="9" t="inlineStr">
        <is>
          <t>new_post</t>
        </is>
      </c>
      <c r="E14" s="9" t="n">
        <v>4758127</v>
      </c>
      <c r="F14" s="9" t="inlineStr">
        <is>
          <t>2285953</t>
        </is>
      </c>
      <c r="G14" s="9" t="inlineStr">
        <is>
          <t>FINANCIAL</t>
        </is>
      </c>
      <c r="H14" s="9" t="inlineStr">
        <is>
          <t>BUY</t>
        </is>
      </c>
      <c r="I14" s="9" t="inlineStr">
        <is>
          <t>Heating Degree Day</t>
        </is>
      </c>
      <c r="J14" s="9" t="inlineStr">
        <is>
          <t>DFW Airport</t>
        </is>
      </c>
      <c r="K14" s="9" t="n">
        <v/>
      </c>
      <c r="L14" s="9" t="n">
        <v/>
      </c>
      <c r="M14" s="9" t="n">
        <v/>
      </c>
      <c r="N14" s="9" t="n">
        <v>0</v>
      </c>
      <c r="O14" s="9" t="n">
        <v>32500</v>
      </c>
      <c r="P14" s="10">
        <f>O14-N14</f>
        <v/>
      </c>
      <c r="Q14" s="9" t="inlineStr">
        <is>
          <t>true</t>
        </is>
      </c>
    </row>
    <row r="15">
      <c r="A15" s="9" t="inlineStr">
        <is>
          <t>unexplained_result_findetail_position.xlsx</t>
        </is>
      </c>
      <c r="B15" s="9" t="inlineStr">
        <is>
          <t>Drilldown</t>
        </is>
      </c>
      <c r="C15" s="9" t="inlineStr">
        <is>
          <t>Settlement</t>
        </is>
      </c>
      <c r="D15" s="9" t="inlineStr">
        <is>
          <t>new_post</t>
        </is>
      </c>
      <c r="E15" s="9" t="inlineStr">
        <is>
          <t>4758128</t>
        </is>
      </c>
      <c r="F15" s="9" t="inlineStr">
        <is>
          <t>2285953</t>
        </is>
      </c>
      <c r="G15" s="9" t="inlineStr">
        <is>
          <t>FINANCIAL</t>
        </is>
      </c>
      <c r="H15" s="9" t="inlineStr">
        <is>
          <t>BUY</t>
        </is>
      </c>
      <c r="I15" s="9" t="inlineStr">
        <is>
          <t>Heating Degree Day</t>
        </is>
      </c>
      <c r="J15" s="9" t="inlineStr">
        <is>
          <t xml:space="preserve">Houston - Bush Intercontinental </t>
        </is>
      </c>
      <c r="K15" s="9" t="n">
        <v/>
      </c>
      <c r="L15" s="9" t="n">
        <v/>
      </c>
      <c r="M15" s="9" t="n">
        <v/>
      </c>
      <c r="N15" s="9" t="n">
        <v>0</v>
      </c>
      <c r="O15" s="9" t="n">
        <v>22500</v>
      </c>
      <c r="P15" s="10">
        <f>O15-N15</f>
        <v/>
      </c>
      <c r="Q15" s="9" t="inlineStr">
        <is>
          <t>true</t>
        </is>
      </c>
    </row>
    <row r="16">
      <c r="A16" s="9" t="inlineStr">
        <is>
          <t>unexplained_result_findetail_position.xlsx</t>
        </is>
      </c>
      <c r="B16" s="9" t="inlineStr">
        <is>
          <t>Drilldown</t>
        </is>
      </c>
      <c r="C16" s="9" t="inlineStr">
        <is>
          <t>Settlement</t>
        </is>
      </c>
      <c r="D16" s="9" t="inlineStr">
        <is>
          <t>new_post</t>
        </is>
      </c>
      <c r="E16" s="9" t="inlineStr">
        <is>
          <t>4760073</t>
        </is>
      </c>
      <c r="F16" s="9" t="inlineStr">
        <is>
          <t>2286035</t>
        </is>
      </c>
      <c r="G16" s="9" t="inlineStr">
        <is>
          <t>FINANCIAL</t>
        </is>
      </c>
      <c r="H16" s="9" t="inlineStr">
        <is>
          <t>SELL</t>
        </is>
      </c>
      <c r="I16" s="9" t="inlineStr">
        <is>
          <t>Heating Degree Day</t>
        </is>
      </c>
      <c r="J16" s="9" t="inlineStr">
        <is>
          <t>DFW Airport</t>
        </is>
      </c>
      <c r="K16" s="9" t="n">
        <v/>
      </c>
      <c r="L16" s="9" t="n">
        <v/>
      </c>
      <c r="M16" s="9" t="n">
        <v/>
      </c>
      <c r="N16" s="9" t="n">
        <v>0</v>
      </c>
      <c r="O16" s="9" t="n">
        <v>32500</v>
      </c>
      <c r="P16" s="10">
        <f>O16-N16</f>
        <v/>
      </c>
      <c r="Q16" s="9" t="inlineStr">
        <is>
          <t>true</t>
        </is>
      </c>
    </row>
    <row r="17">
      <c r="A17" s="9" t="inlineStr">
        <is>
          <t>unexplained_result_findetail_position.xlsx</t>
        </is>
      </c>
      <c r="B17" s="9" t="inlineStr">
        <is>
          <t>Drilldown</t>
        </is>
      </c>
      <c r="C17" s="9" t="inlineStr">
        <is>
          <t>Settlement</t>
        </is>
      </c>
      <c r="D17" s="9" t="inlineStr">
        <is>
          <t>new_post</t>
        </is>
      </c>
      <c r="E17" s="9" t="inlineStr">
        <is>
          <t>4760074</t>
        </is>
      </c>
      <c r="F17" s="9" t="inlineStr">
        <is>
          <t>2286035</t>
        </is>
      </c>
      <c r="G17" s="9" t="inlineStr">
        <is>
          <t>FINANCIAL</t>
        </is>
      </c>
      <c r="H17" s="9" t="inlineStr">
        <is>
          <t>SELL</t>
        </is>
      </c>
      <c r="I17" s="9" t="inlineStr">
        <is>
          <t>Heating Degree Day</t>
        </is>
      </c>
      <c r="J17" s="9" t="inlineStr">
        <is>
          <t xml:space="preserve">Houston - Bush Intercontinental </t>
        </is>
      </c>
      <c r="K17" s="9" t="n">
        <v/>
      </c>
      <c r="L17" s="9" t="n">
        <v/>
      </c>
      <c r="M17" s="9" t="n">
        <v/>
      </c>
      <c r="N17" s="9" t="n">
        <v>0</v>
      </c>
      <c r="O17" s="9" t="n">
        <v>22500</v>
      </c>
      <c r="P17" s="10">
        <f>O17-N17</f>
        <v/>
      </c>
      <c r="Q17" s="9" t="inlineStr">
        <is>
          <t>true</t>
        </is>
      </c>
    </row>
    <row r="18">
      <c r="A18" s="9" t="inlineStr">
        <is>
          <t>unexplained_result_findetail_position.xlsx</t>
        </is>
      </c>
      <c r="B18" s="9" t="inlineStr">
        <is>
          <t>Drilldown</t>
        </is>
      </c>
      <c r="C18" s="9" t="inlineStr">
        <is>
          <t>Settlement</t>
        </is>
      </c>
      <c r="D18" s="9" t="inlineStr">
        <is>
          <t>new_post</t>
        </is>
      </c>
      <c r="E18" s="9" t="inlineStr">
        <is>
          <t>4760096</t>
        </is>
      </c>
      <c r="F18" s="9" t="inlineStr">
        <is>
          <t>2286057</t>
        </is>
      </c>
      <c r="G18" s="9" t="inlineStr">
        <is>
          <t>FINANCIAL</t>
        </is>
      </c>
      <c r="H18" s="9" t="inlineStr">
        <is>
          <t>BUY</t>
        </is>
      </c>
      <c r="I18" s="9" t="inlineStr">
        <is>
          <t>Heating Degree Day</t>
        </is>
      </c>
      <c r="J18" s="9" t="inlineStr">
        <is>
          <t xml:space="preserve">Houston - Bush Intercontinental </t>
        </is>
      </c>
      <c r="K18" s="9" t="n">
        <v/>
      </c>
      <c r="L18" s="9" t="n">
        <v/>
      </c>
      <c r="M18" s="9" t="n">
        <v/>
      </c>
      <c r="N18" s="9" t="n">
        <v>0</v>
      </c>
      <c r="O18" s="9" t="n">
        <v>22500</v>
      </c>
      <c r="P18" s="10">
        <f>O18-N18</f>
        <v/>
      </c>
      <c r="Q18" s="9" t="inlineStr">
        <is>
          <t>true</t>
        </is>
      </c>
    </row>
    <row r="19">
      <c r="A19" s="9" t="inlineStr">
        <is>
          <t>unexplained_result_findetail_position.xlsx</t>
        </is>
      </c>
      <c r="B19" s="9" t="inlineStr">
        <is>
          <t>Drilldown</t>
        </is>
      </c>
      <c r="C19" s="9" t="inlineStr">
        <is>
          <t>Settlement</t>
        </is>
      </c>
      <c r="D19" s="9" t="inlineStr">
        <is>
          <t>new_post</t>
        </is>
      </c>
      <c r="E19" s="9" t="inlineStr">
        <is>
          <t>4760101</t>
        </is>
      </c>
      <c r="F19" s="9" t="inlineStr">
        <is>
          <t>2286057</t>
        </is>
      </c>
      <c r="G19" s="9" t="inlineStr">
        <is>
          <t>FINANCIAL</t>
        </is>
      </c>
      <c r="H19" s="9" t="inlineStr">
        <is>
          <t>BUY</t>
        </is>
      </c>
      <c r="I19" s="9" t="inlineStr">
        <is>
          <t>Heating Degree Day</t>
        </is>
      </c>
      <c r="J19" s="9" t="inlineStr">
        <is>
          <t>DFW Airport</t>
        </is>
      </c>
      <c r="K19" s="9" t="n">
        <v/>
      </c>
      <c r="L19" s="9" t="n">
        <v/>
      </c>
      <c r="M19" s="9" t="n">
        <v/>
      </c>
      <c r="N19" s="9" t="n">
        <v>0</v>
      </c>
      <c r="O19" s="9" t="n">
        <v>32500</v>
      </c>
      <c r="P19" s="10">
        <f>O19-N19</f>
        <v/>
      </c>
      <c r="Q19" s="9" t="inlineStr">
        <is>
          <t>true</t>
        </is>
      </c>
    </row>
    <row r="20">
      <c r="A20" s="9" t="inlineStr">
        <is>
          <t>unexplained_result_findetail_position.xlsx</t>
        </is>
      </c>
      <c r="B20" s="9" t="inlineStr">
        <is>
          <t>Drilldown</t>
        </is>
      </c>
      <c r="C20" s="9" t="inlineStr">
        <is>
          <t>Settlement</t>
        </is>
      </c>
      <c r="D20" s="9" t="inlineStr">
        <is>
          <t>new_post</t>
        </is>
      </c>
      <c r="E20" s="9" t="inlineStr">
        <is>
          <t>4773053</t>
        </is>
      </c>
      <c r="F20" s="9" t="inlineStr">
        <is>
          <t>2290356</t>
        </is>
      </c>
      <c r="G20" s="9" t="inlineStr">
        <is>
          <t>FINANCIAL</t>
        </is>
      </c>
      <c r="H20" s="9" t="inlineStr">
        <is>
          <t>SWAP</t>
        </is>
      </c>
      <c r="I20" s="9" t="inlineStr">
        <is>
          <t>Heating Degree Day</t>
        </is>
      </c>
      <c r="J20" s="9" t="inlineStr">
        <is>
          <t>PHL Airport</t>
        </is>
      </c>
      <c r="K20" s="9" t="n">
        <v/>
      </c>
      <c r="L20" s="9" t="n">
        <v/>
      </c>
      <c r="M20" s="9" t="n">
        <v/>
      </c>
      <c r="N20" s="9" t="n">
        <v>0</v>
      </c>
      <c r="O20" s="9" t="n">
        <v>5000</v>
      </c>
      <c r="P20" s="10">
        <f>O20-N20</f>
        <v/>
      </c>
      <c r="Q20" s="9" t="inlineStr">
        <is>
          <t>true</t>
        </is>
      </c>
    </row>
    <row r="21">
      <c r="A21" s="9" t="inlineStr">
        <is>
          <t>unexplained_result_findetail_position.xlsx</t>
        </is>
      </c>
      <c r="B21" s="9" t="inlineStr">
        <is>
          <t>Drilldown</t>
        </is>
      </c>
      <c r="C21" s="9" t="inlineStr">
        <is>
          <t>Settlement</t>
        </is>
      </c>
      <c r="D21" s="9" t="inlineStr">
        <is>
          <t>new_post</t>
        </is>
      </c>
      <c r="E21" s="9" t="inlineStr">
        <is>
          <t>4773058</t>
        </is>
      </c>
      <c r="F21" s="9" t="inlineStr">
        <is>
          <t>2290358</t>
        </is>
      </c>
      <c r="G21" s="9" t="inlineStr">
        <is>
          <t>FINANCIAL</t>
        </is>
      </c>
      <c r="H21" s="9" t="inlineStr">
        <is>
          <t>SWAP</t>
        </is>
      </c>
      <c r="I21" s="9" t="inlineStr">
        <is>
          <t>Heating Degree Day</t>
        </is>
      </c>
      <c r="J21" s="9" t="inlineStr">
        <is>
          <t>PHL Airport</t>
        </is>
      </c>
      <c r="K21" s="9" t="n">
        <v/>
      </c>
      <c r="L21" s="9" t="n">
        <v/>
      </c>
      <c r="M21" s="9" t="n">
        <v/>
      </c>
      <c r="N21" s="9" t="n">
        <v>0</v>
      </c>
      <c r="O21" s="9" t="n">
        <v>5000</v>
      </c>
      <c r="P21" s="10">
        <f>O21-N21</f>
        <v/>
      </c>
      <c r="Q21" s="9" t="inlineStr">
        <is>
          <t>true</t>
        </is>
      </c>
    </row>
    <row r="22">
      <c r="A22" s="9" t="inlineStr">
        <is>
          <t>unexplained_result_findetail_position.xlsx</t>
        </is>
      </c>
      <c r="B22" s="9" t="inlineStr">
        <is>
          <t>Drilldown</t>
        </is>
      </c>
      <c r="C22" s="9" t="inlineStr">
        <is>
          <t>Settlement</t>
        </is>
      </c>
      <c r="D22" s="9" t="inlineStr">
        <is>
          <t>new_post</t>
        </is>
      </c>
      <c r="E22" s="9" t="inlineStr">
        <is>
          <t>4773171</t>
        </is>
      </c>
      <c r="F22" s="9" t="inlineStr">
        <is>
          <t>2290394</t>
        </is>
      </c>
      <c r="G22" s="9" t="inlineStr">
        <is>
          <t>FINANCIAL</t>
        </is>
      </c>
      <c r="H22" s="9" t="inlineStr">
        <is>
          <t>SWAP</t>
        </is>
      </c>
      <c r="I22" s="9" t="inlineStr">
        <is>
          <t>Heating Degree Day</t>
        </is>
      </c>
      <c r="J22" s="9" t="inlineStr">
        <is>
          <t>BOS Airport</t>
        </is>
      </c>
      <c r="K22" s="9" t="n">
        <v/>
      </c>
      <c r="L22" s="9" t="n">
        <v/>
      </c>
      <c r="M22" s="9" t="n">
        <v/>
      </c>
      <c r="N22" s="9" t="n">
        <v>0</v>
      </c>
      <c r="O22" s="9" t="n">
        <v>1000</v>
      </c>
      <c r="P22" s="10">
        <f>O22-N22</f>
        <v/>
      </c>
      <c r="Q22" s="9" t="inlineStr">
        <is>
          <t>true</t>
        </is>
      </c>
    </row>
    <row r="23">
      <c r="A23" s="9" t="inlineStr">
        <is>
          <t>unexplained_result_findetail_position.xlsx</t>
        </is>
      </c>
      <c r="B23" s="9" t="inlineStr">
        <is>
          <t>Drilldown</t>
        </is>
      </c>
      <c r="C23" s="9" t="inlineStr">
        <is>
          <t>Settlement</t>
        </is>
      </c>
      <c r="D23" s="9" t="inlineStr">
        <is>
          <t>new_post</t>
        </is>
      </c>
      <c r="E23" s="9" t="inlineStr">
        <is>
          <t>4773174</t>
        </is>
      </c>
      <c r="F23" s="9" t="inlineStr">
        <is>
          <t>2290395</t>
        </is>
      </c>
      <c r="G23" s="9" t="inlineStr">
        <is>
          <t>FINANCIAL</t>
        </is>
      </c>
      <c r="H23" s="9" t="inlineStr">
        <is>
          <t>SWAP</t>
        </is>
      </c>
      <c r="I23" s="9" t="inlineStr">
        <is>
          <t>Heating Degree Day</t>
        </is>
      </c>
      <c r="J23" s="9" t="inlineStr">
        <is>
          <t>BOS Airport</t>
        </is>
      </c>
      <c r="K23" s="9" t="n">
        <v/>
      </c>
      <c r="L23" s="9" t="n">
        <v/>
      </c>
      <c r="M23" s="9" t="n">
        <v/>
      </c>
      <c r="N23" s="9" t="n">
        <v>0</v>
      </c>
      <c r="O23" s="9" t="n">
        <v>4000</v>
      </c>
      <c r="P23" s="10">
        <f>O23-N23</f>
        <v/>
      </c>
      <c r="Q23" s="9" t="inlineStr">
        <is>
          <t>true</t>
        </is>
      </c>
    </row>
    <row r="24">
      <c r="A24" s="9" t="inlineStr">
        <is>
          <t>unexplained_result_findetail_position.xlsx</t>
        </is>
      </c>
      <c r="B24" s="9" t="inlineStr">
        <is>
          <t>Drilldown</t>
        </is>
      </c>
      <c r="C24" s="9" t="inlineStr">
        <is>
          <t>Settlement</t>
        </is>
      </c>
      <c r="D24" s="9" t="inlineStr">
        <is>
          <t>new_post</t>
        </is>
      </c>
      <c r="E24" s="9" t="inlineStr">
        <is>
          <t>4773796</t>
        </is>
      </c>
      <c r="F24" s="9" t="inlineStr">
        <is>
          <t>2290712</t>
        </is>
      </c>
      <c r="G24" s="9" t="inlineStr">
        <is>
          <t>FINANCIAL</t>
        </is>
      </c>
      <c r="H24" s="9" t="inlineStr">
        <is>
          <t>SWAP</t>
        </is>
      </c>
      <c r="I24" s="9" t="inlineStr">
        <is>
          <t>Heating Degree Day</t>
        </is>
      </c>
      <c r="J24" s="9" t="inlineStr">
        <is>
          <t>PHL Airport</t>
        </is>
      </c>
      <c r="K24" s="9" t="n">
        <v/>
      </c>
      <c r="L24" s="9" t="n">
        <v/>
      </c>
      <c r="M24" s="9" t="n">
        <v/>
      </c>
      <c r="N24" s="9" t="n">
        <v>0</v>
      </c>
      <c r="O24" s="9" t="n">
        <v>5000</v>
      </c>
      <c r="P24" s="10">
        <f>O24-N24</f>
        <v/>
      </c>
      <c r="Q24" s="9" t="inlineStr">
        <is>
          <t>true</t>
        </is>
      </c>
    </row>
    <row r="25">
      <c r="A25" s="9" t="inlineStr">
        <is>
          <t>unexplained_result_findetail_position.xlsx</t>
        </is>
      </c>
      <c r="B25" s="9" t="inlineStr">
        <is>
          <t>Drilldown</t>
        </is>
      </c>
      <c r="C25" s="9" t="inlineStr">
        <is>
          <t>Settlement</t>
        </is>
      </c>
      <c r="D25" s="9" t="inlineStr">
        <is>
          <t>new_post</t>
        </is>
      </c>
      <c r="E25" s="9" t="inlineStr">
        <is>
          <t>4773836</t>
        </is>
      </c>
      <c r="F25" s="9" t="inlineStr">
        <is>
          <t>2290755</t>
        </is>
      </c>
      <c r="G25" s="9" t="inlineStr">
        <is>
          <t>FINANCIAL</t>
        </is>
      </c>
      <c r="H25" s="9" t="inlineStr">
        <is>
          <t>SWAP</t>
        </is>
      </c>
      <c r="I25" s="9" t="inlineStr">
        <is>
          <t>Heating Degree Day</t>
        </is>
      </c>
      <c r="J25" s="9" t="inlineStr">
        <is>
          <t>PHL Airport</t>
        </is>
      </c>
      <c r="K25" s="9" t="n">
        <v/>
      </c>
      <c r="L25" s="9" t="n">
        <v/>
      </c>
      <c r="M25" s="9" t="n">
        <v/>
      </c>
      <c r="N25" s="9" t="n">
        <v>0</v>
      </c>
      <c r="O25" s="9" t="n">
        <v>5000</v>
      </c>
      <c r="P25" s="10">
        <f>O25-N25</f>
        <v/>
      </c>
      <c r="Q25" s="9" t="inlineStr">
        <is>
          <t>true</t>
        </is>
      </c>
    </row>
    <row r="26">
      <c r="A26" s="9" t="inlineStr">
        <is>
          <t>unexplained_result_findetail_position.xlsx</t>
        </is>
      </c>
      <c r="B26" s="9" t="inlineStr">
        <is>
          <t>Drilldown</t>
        </is>
      </c>
      <c r="C26" s="9" t="inlineStr">
        <is>
          <t>Settlement</t>
        </is>
      </c>
      <c r="D26" s="9" t="inlineStr">
        <is>
          <t>new_post</t>
        </is>
      </c>
      <c r="E26" s="9" t="inlineStr">
        <is>
          <t>4773891</t>
        </is>
      </c>
      <c r="F26" s="9" t="inlineStr">
        <is>
          <t>2290805</t>
        </is>
      </c>
      <c r="G26" s="9" t="inlineStr">
        <is>
          <t>FINANCIAL</t>
        </is>
      </c>
      <c r="H26" s="9" t="inlineStr">
        <is>
          <t>SWAP</t>
        </is>
      </c>
      <c r="I26" s="9" t="inlineStr">
        <is>
          <t>Heating Degree Day</t>
        </is>
      </c>
      <c r="J26" s="9" t="inlineStr">
        <is>
          <t>BOS Airport</t>
        </is>
      </c>
      <c r="K26" s="9" t="n">
        <v/>
      </c>
      <c r="L26" s="9" t="n">
        <v/>
      </c>
      <c r="M26" s="9" t="n">
        <v/>
      </c>
      <c r="N26" s="9" t="n">
        <v>0</v>
      </c>
      <c r="O26" s="9" t="n">
        <v>4000</v>
      </c>
      <c r="P26" s="10">
        <f>O26-N26</f>
        <v/>
      </c>
      <c r="Q26" s="9" t="inlineStr">
        <is>
          <t>true</t>
        </is>
      </c>
    </row>
    <row r="27">
      <c r="A27" s="9" t="inlineStr">
        <is>
          <t>unexplained_result_findetail_position.xlsx</t>
        </is>
      </c>
      <c r="B27" s="9" t="inlineStr">
        <is>
          <t>Drilldown</t>
        </is>
      </c>
      <c r="C27" s="9" t="inlineStr">
        <is>
          <t>Settlement</t>
        </is>
      </c>
      <c r="D27" s="9" t="inlineStr">
        <is>
          <t>new_post</t>
        </is>
      </c>
      <c r="E27" s="9" t="inlineStr">
        <is>
          <t>4773927</t>
        </is>
      </c>
      <c r="F27" s="9" t="inlineStr">
        <is>
          <t>2290843</t>
        </is>
      </c>
      <c r="G27" s="9" t="inlineStr">
        <is>
          <t>FINANCIAL</t>
        </is>
      </c>
      <c r="H27" s="9" t="inlineStr">
        <is>
          <t>SWAP</t>
        </is>
      </c>
      <c r="I27" s="9" t="inlineStr">
        <is>
          <t>Heating Degree Day</t>
        </is>
      </c>
      <c r="J27" s="9" t="inlineStr">
        <is>
          <t>BOS Airport</t>
        </is>
      </c>
      <c r="K27" s="9" t="n">
        <v/>
      </c>
      <c r="L27" s="9" t="n">
        <v/>
      </c>
      <c r="M27" s="9" t="n">
        <v/>
      </c>
      <c r="N27" s="9" t="n">
        <v>0</v>
      </c>
      <c r="O27" s="9" t="n">
        <v>4000</v>
      </c>
      <c r="P27" s="10">
        <f>O27-N27</f>
        <v/>
      </c>
      <c r="Q27" s="9" t="inlineStr">
        <is>
          <t>true</t>
        </is>
      </c>
    </row>
    <row r="28">
      <c r="A28" s="9" t="inlineStr">
        <is>
          <t>unexplained_result_findetail_position.xlsx</t>
        </is>
      </c>
      <c r="B28" s="9" t="inlineStr">
        <is>
          <t>Drilldown</t>
        </is>
      </c>
      <c r="C28" s="9" t="inlineStr">
        <is>
          <t>Settlement</t>
        </is>
      </c>
      <c r="D28" s="9" t="inlineStr">
        <is>
          <t>new_post</t>
        </is>
      </c>
      <c r="E28" s="9" t="inlineStr">
        <is>
          <t>4773983</t>
        </is>
      </c>
      <c r="F28" s="9" t="inlineStr">
        <is>
          <t>2290895</t>
        </is>
      </c>
      <c r="G28" s="9" t="inlineStr">
        <is>
          <t>FINANCIAL</t>
        </is>
      </c>
      <c r="H28" s="9" t="inlineStr">
        <is>
          <t>SWAP</t>
        </is>
      </c>
      <c r="I28" s="9" t="inlineStr">
        <is>
          <t>Heating Degree Day</t>
        </is>
      </c>
      <c r="J28" s="9" t="inlineStr">
        <is>
          <t>PHL Airport</t>
        </is>
      </c>
      <c r="K28" s="9" t="n">
        <v/>
      </c>
      <c r="L28" s="9" t="n">
        <v/>
      </c>
      <c r="M28" s="9" t="n">
        <v/>
      </c>
      <c r="N28" s="9" t="n">
        <v>0</v>
      </c>
      <c r="O28" s="9" t="n">
        <v>5000</v>
      </c>
      <c r="P28" s="10">
        <f>O28-N28</f>
        <v/>
      </c>
      <c r="Q28" s="9" t="inlineStr">
        <is>
          <t>true</t>
        </is>
      </c>
    </row>
    <row r="29">
      <c r="A29" s="9" t="inlineStr">
        <is>
          <t>unexplained_result_findetail_position.xlsx</t>
        </is>
      </c>
      <c r="B29" s="9" t="inlineStr">
        <is>
          <t>Drilldown</t>
        </is>
      </c>
      <c r="C29" s="9" t="inlineStr">
        <is>
          <t>Settlement</t>
        </is>
      </c>
      <c r="D29" s="9" t="inlineStr">
        <is>
          <t>new_post</t>
        </is>
      </c>
      <c r="E29" s="9" t="inlineStr">
        <is>
          <t>4774021</t>
        </is>
      </c>
      <c r="F29" s="9" t="inlineStr">
        <is>
          <t>2290934</t>
        </is>
      </c>
      <c r="G29" s="9" t="inlineStr">
        <is>
          <t>FINANCIAL</t>
        </is>
      </c>
      <c r="H29" s="9" t="inlineStr">
        <is>
          <t>SWAP</t>
        </is>
      </c>
      <c r="I29" s="9" t="inlineStr">
        <is>
          <t>Heating Degree Day</t>
        </is>
      </c>
      <c r="J29" s="9" t="inlineStr">
        <is>
          <t>PHL Airport</t>
        </is>
      </c>
      <c r="K29" s="9" t="n">
        <v/>
      </c>
      <c r="L29" s="9" t="n">
        <v/>
      </c>
      <c r="M29" s="9" t="n">
        <v/>
      </c>
      <c r="N29" s="9" t="n">
        <v>0</v>
      </c>
      <c r="O29" s="9" t="n">
        <v>5000</v>
      </c>
      <c r="P29" s="10">
        <f>O29-N29</f>
        <v/>
      </c>
      <c r="Q29" s="9" t="inlineStr">
        <is>
          <t>true</t>
        </is>
      </c>
    </row>
    <row r="30">
      <c r="A30" s="9" t="inlineStr">
        <is>
          <t>unexplained_result_findetail_position.xlsx</t>
        </is>
      </c>
      <c r="B30" s="9" t="inlineStr">
        <is>
          <t>Drilldown</t>
        </is>
      </c>
      <c r="C30" s="9" t="inlineStr">
        <is>
          <t>Settlement</t>
        </is>
      </c>
      <c r="D30" s="9" t="inlineStr">
        <is>
          <t>new_post</t>
        </is>
      </c>
      <c r="E30" s="9" t="inlineStr">
        <is>
          <t>4776904</t>
        </is>
      </c>
      <c r="F30" s="9" t="inlineStr">
        <is>
          <t>2291827</t>
        </is>
      </c>
      <c r="G30" s="9" t="inlineStr">
        <is>
          <t>FINANCIAL</t>
        </is>
      </c>
      <c r="H30" s="9" t="inlineStr">
        <is>
          <t>SWAP</t>
        </is>
      </c>
      <c r="I30" s="9" t="inlineStr">
        <is>
          <t>Heating Degree Day</t>
        </is>
      </c>
      <c r="J30" s="9" t="inlineStr">
        <is>
          <t>Cincinatti Airport</t>
        </is>
      </c>
      <c r="K30" s="9" t="n">
        <v/>
      </c>
      <c r="L30" s="9" t="n">
        <v/>
      </c>
      <c r="M30" s="9" t="n">
        <v/>
      </c>
      <c r="N30" s="9" t="n">
        <v>0</v>
      </c>
      <c r="O30" s="9" t="n">
        <v>5000</v>
      </c>
      <c r="P30" s="10">
        <f>O30-N30</f>
        <v/>
      </c>
      <c r="Q30" s="9" t="inlineStr">
        <is>
          <t>true</t>
        </is>
      </c>
    </row>
    <row r="31">
      <c r="A31" s="9" t="inlineStr">
        <is>
          <t>unexplained_result_findetail_position.xlsx</t>
        </is>
      </c>
      <c r="B31" s="9" t="inlineStr">
        <is>
          <t>Drilldown</t>
        </is>
      </c>
      <c r="C31" s="9" t="inlineStr">
        <is>
          <t>Settlement</t>
        </is>
      </c>
      <c r="D31" s="9" t="inlineStr">
        <is>
          <t>new_post</t>
        </is>
      </c>
      <c r="E31" s="9" t="inlineStr">
        <is>
          <t>4776914</t>
        </is>
      </c>
      <c r="F31" s="9" t="inlineStr">
        <is>
          <t>2291832</t>
        </is>
      </c>
      <c r="G31" s="9" t="inlineStr">
        <is>
          <t>FINANCIAL</t>
        </is>
      </c>
      <c r="H31" s="9" t="inlineStr">
        <is>
          <t>SWAP</t>
        </is>
      </c>
      <c r="I31" s="9" t="inlineStr">
        <is>
          <t>Heating Degree Day</t>
        </is>
      </c>
      <c r="J31" s="9" t="inlineStr">
        <is>
          <t>Cincinatti Airport</t>
        </is>
      </c>
      <c r="K31" s="9" t="n">
        <v/>
      </c>
      <c r="L31" s="9" t="n">
        <v/>
      </c>
      <c r="M31" s="9" t="n">
        <v/>
      </c>
      <c r="N31" s="9" t="n">
        <v>0</v>
      </c>
      <c r="O31" s="9" t="n">
        <v>2500</v>
      </c>
      <c r="P31" s="10">
        <f>O31-N31</f>
        <v/>
      </c>
      <c r="Q31" s="9" t="inlineStr">
        <is>
          <t>true</t>
        </is>
      </c>
    </row>
    <row r="32">
      <c r="A32" s="9" t="inlineStr">
        <is>
          <t>unexplained_result_findetail_position.xlsx</t>
        </is>
      </c>
      <c r="B32" s="9" t="inlineStr">
        <is>
          <t>Drilldown</t>
        </is>
      </c>
      <c r="C32" s="9" t="inlineStr">
        <is>
          <t>Settlement</t>
        </is>
      </c>
      <c r="D32" s="9" t="inlineStr">
        <is>
          <t>new_post</t>
        </is>
      </c>
      <c r="E32" s="9" t="inlineStr">
        <is>
          <t>4776920</t>
        </is>
      </c>
      <c r="F32" s="9" t="inlineStr">
        <is>
          <t>2291836</t>
        </is>
      </c>
      <c r="G32" s="9" t="inlineStr">
        <is>
          <t>FINANCIAL</t>
        </is>
      </c>
      <c r="H32" s="9" t="inlineStr">
        <is>
          <t>SWAP</t>
        </is>
      </c>
      <c r="I32" s="9" t="inlineStr">
        <is>
          <t>Heating Degree Day</t>
        </is>
      </c>
      <c r="J32" s="9" t="inlineStr">
        <is>
          <t>Cincinatti Airport</t>
        </is>
      </c>
      <c r="K32" s="9" t="n">
        <v/>
      </c>
      <c r="L32" s="9" t="n">
        <v/>
      </c>
      <c r="M32" s="9" t="n">
        <v/>
      </c>
      <c r="N32" s="9" t="n">
        <v>0</v>
      </c>
      <c r="O32" s="9" t="n">
        <v>2500</v>
      </c>
      <c r="P32" s="10">
        <f>O32-N32</f>
        <v/>
      </c>
      <c r="Q32" s="9" t="inlineStr">
        <is>
          <t>true</t>
        </is>
      </c>
    </row>
    <row r="33">
      <c r="A33" s="9" t="inlineStr">
        <is>
          <t>unexplained_result_findetail_position.xlsx</t>
        </is>
      </c>
      <c r="B33" s="9" t="inlineStr">
        <is>
          <t>Drilldown</t>
        </is>
      </c>
      <c r="C33" s="9" t="inlineStr">
        <is>
          <t>Settlement</t>
        </is>
      </c>
      <c r="D33" s="9" t="inlineStr">
        <is>
          <t>new_post</t>
        </is>
      </c>
      <c r="E33" s="9" t="inlineStr">
        <is>
          <t>4778254</t>
        </is>
      </c>
      <c r="F33" s="9" t="inlineStr">
        <is>
          <t>2292072</t>
        </is>
      </c>
      <c r="G33" s="9" t="inlineStr">
        <is>
          <t>FINANCIAL</t>
        </is>
      </c>
      <c r="H33" s="9" t="inlineStr">
        <is>
          <t>SWAP</t>
        </is>
      </c>
      <c r="I33" s="9" t="inlineStr">
        <is>
          <t>Heating Degree Day</t>
        </is>
      </c>
      <c r="J33" s="9" t="inlineStr">
        <is>
          <t>Cincinatti Airport</t>
        </is>
      </c>
      <c r="K33" s="9" t="n">
        <v/>
      </c>
      <c r="L33" s="9" t="n">
        <v/>
      </c>
      <c r="M33" s="9" t="n">
        <v/>
      </c>
      <c r="N33" s="9" t="n">
        <v>0</v>
      </c>
      <c r="O33" s="9" t="n">
        <v>2500</v>
      </c>
      <c r="P33" s="10">
        <f>O33-N33</f>
        <v/>
      </c>
      <c r="Q33" s="9" t="inlineStr">
        <is>
          <t>true</t>
        </is>
      </c>
    </row>
    <row r="34">
      <c r="A34" s="9" t="inlineStr">
        <is>
          <t>unexplained_result_findetail_position.xlsx</t>
        </is>
      </c>
      <c r="B34" s="9" t="inlineStr">
        <is>
          <t>Drilldown</t>
        </is>
      </c>
      <c r="C34" s="9" t="inlineStr">
        <is>
          <t>Settlement</t>
        </is>
      </c>
      <c r="D34" s="9" t="inlineStr">
        <is>
          <t>new_post</t>
        </is>
      </c>
      <c r="E34" s="9" t="inlineStr">
        <is>
          <t>4778271</t>
        </is>
      </c>
      <c r="F34" s="9" t="inlineStr">
        <is>
          <t>2292081</t>
        </is>
      </c>
      <c r="G34" s="9" t="inlineStr">
        <is>
          <t>FINANCIAL</t>
        </is>
      </c>
      <c r="H34" s="9" t="inlineStr">
        <is>
          <t>SWAP</t>
        </is>
      </c>
      <c r="I34" s="9" t="inlineStr">
        <is>
          <t>Heating Degree Day</t>
        </is>
      </c>
      <c r="J34" s="9" t="inlineStr">
        <is>
          <t>Cincinatti Airport</t>
        </is>
      </c>
      <c r="K34" s="9" t="n">
        <v/>
      </c>
      <c r="L34" s="9" t="n">
        <v/>
      </c>
      <c r="M34" s="9" t="n">
        <v/>
      </c>
      <c r="N34" s="9" t="n">
        <v>0</v>
      </c>
      <c r="O34" s="9" t="n">
        <v>5000</v>
      </c>
      <c r="P34" s="10">
        <f>O34-N34</f>
        <v/>
      </c>
      <c r="Q34" s="9" t="inlineStr">
        <is>
          <t>true</t>
        </is>
      </c>
    </row>
    <row r="35">
      <c r="A35" s="9" t="inlineStr">
        <is>
          <t>unexplained_result_findetail_position.xlsx</t>
        </is>
      </c>
      <c r="B35" s="9" t="inlineStr">
        <is>
          <t>Drilldown</t>
        </is>
      </c>
      <c r="C35" s="9" t="inlineStr">
        <is>
          <t>Settlement</t>
        </is>
      </c>
      <c r="D35" s="9" t="inlineStr">
        <is>
          <t>new_post</t>
        </is>
      </c>
      <c r="E35" s="9" t="inlineStr">
        <is>
          <t>4778272</t>
        </is>
      </c>
      <c r="F35" s="9" t="inlineStr">
        <is>
          <t>2292080</t>
        </is>
      </c>
      <c r="G35" s="9" t="inlineStr">
        <is>
          <t>FINANCIAL</t>
        </is>
      </c>
      <c r="H35" s="9" t="inlineStr">
        <is>
          <t>SWAP</t>
        </is>
      </c>
      <c r="I35" s="9" t="inlineStr">
        <is>
          <t>Heating Degree Day</t>
        </is>
      </c>
      <c r="J35" s="9" t="inlineStr">
        <is>
          <t>Cincinatti Airport</t>
        </is>
      </c>
      <c r="K35" s="9" t="n">
        <v/>
      </c>
      <c r="L35" s="9" t="n">
        <v/>
      </c>
      <c r="M35" s="9" t="n">
        <v/>
      </c>
      <c r="N35" s="9" t="n">
        <v>0</v>
      </c>
      <c r="O35" s="9" t="n">
        <v>2500</v>
      </c>
      <c r="P35" s="10">
        <f>O35-N35</f>
        <v/>
      </c>
      <c r="Q35" s="9" t="inlineStr">
        <is>
          <t>true</t>
        </is>
      </c>
    </row>
    <row r="36">
      <c r="A36" s="9" t="inlineStr">
        <is>
          <t>unexplained_result_findetail_position.xlsx</t>
        </is>
      </c>
      <c r="B36" s="9" t="inlineStr">
        <is>
          <t>Drilldown</t>
        </is>
      </c>
      <c r="C36" s="9" t="inlineStr">
        <is>
          <t>Settlement</t>
        </is>
      </c>
      <c r="D36" s="9" t="inlineStr">
        <is>
          <t>new_post</t>
        </is>
      </c>
      <c r="E36" s="9" t="inlineStr">
        <is>
          <t>4778279</t>
        </is>
      </c>
      <c r="F36" s="9" t="inlineStr">
        <is>
          <t>2292084</t>
        </is>
      </c>
      <c r="G36" s="9" t="inlineStr">
        <is>
          <t>FINANCIAL</t>
        </is>
      </c>
      <c r="H36" s="9" t="inlineStr">
        <is>
          <t>SWAP</t>
        </is>
      </c>
      <c r="I36" s="9" t="inlineStr">
        <is>
          <t>Heating Degree Day</t>
        </is>
      </c>
      <c r="J36" s="9" t="inlineStr">
        <is>
          <t>Cincinatti Airport</t>
        </is>
      </c>
      <c r="K36" s="9" t="n">
        <v/>
      </c>
      <c r="L36" s="9" t="n">
        <v/>
      </c>
      <c r="M36" s="9" t="n">
        <v/>
      </c>
      <c r="N36" s="9" t="n">
        <v>0</v>
      </c>
      <c r="O36" s="9" t="n">
        <v>2500</v>
      </c>
      <c r="P36" s="10">
        <f>O36-N36</f>
        <v/>
      </c>
      <c r="Q36" s="9" t="inlineStr">
        <is>
          <t>true</t>
        </is>
      </c>
    </row>
    <row r="37">
      <c r="A37" s="9" t="inlineStr">
        <is>
          <t>unexplained_result_findetail_position.xlsx</t>
        </is>
      </c>
      <c r="B37" s="9" t="inlineStr">
        <is>
          <t>Drilldown</t>
        </is>
      </c>
      <c r="C37" s="9" t="inlineStr">
        <is>
          <t>Settlement</t>
        </is>
      </c>
      <c r="D37" s="9" t="inlineStr">
        <is>
          <t>new_post</t>
        </is>
      </c>
      <c r="E37" s="9" t="inlineStr">
        <is>
          <t>4778295</t>
        </is>
      </c>
      <c r="F37" s="9" t="inlineStr">
        <is>
          <t>2292093</t>
        </is>
      </c>
      <c r="G37" s="9" t="inlineStr">
        <is>
          <t>FINANCIAL</t>
        </is>
      </c>
      <c r="H37" s="9" t="inlineStr">
        <is>
          <t>SWAP</t>
        </is>
      </c>
      <c r="I37" s="9" t="inlineStr">
        <is>
          <t>Heating Degree Day</t>
        </is>
      </c>
      <c r="J37" s="9" t="inlineStr">
        <is>
          <t>Cincinatti Airport</t>
        </is>
      </c>
      <c r="K37" s="9" t="n">
        <v/>
      </c>
      <c r="L37" s="9" t="n">
        <v/>
      </c>
      <c r="M37" s="9" t="n">
        <v/>
      </c>
      <c r="N37" s="9" t="n">
        <v>0</v>
      </c>
      <c r="O37" s="9" t="n">
        <v>2500</v>
      </c>
      <c r="P37" s="10">
        <f>O37-N37</f>
        <v/>
      </c>
      <c r="Q37" s="9" t="inlineStr">
        <is>
          <t>true</t>
        </is>
      </c>
    </row>
    <row r="38">
      <c r="A38" s="9" t="inlineStr">
        <is>
          <t>unexplained_result_findetail_position.xlsx</t>
        </is>
      </c>
      <c r="B38" s="9" t="inlineStr">
        <is>
          <t>Drilldown</t>
        </is>
      </c>
      <c r="C38" s="9" t="inlineStr">
        <is>
          <t>Settlement</t>
        </is>
      </c>
      <c r="D38" s="9" t="inlineStr">
        <is>
          <t>new_post</t>
        </is>
      </c>
      <c r="E38" s="9" t="inlineStr">
        <is>
          <t>4778297</t>
        </is>
      </c>
      <c r="F38" s="9" t="inlineStr">
        <is>
          <t>2292092</t>
        </is>
      </c>
      <c r="G38" s="9" t="inlineStr">
        <is>
          <t>FINANCIAL</t>
        </is>
      </c>
      <c r="H38" s="9" t="inlineStr">
        <is>
          <t>SWAP</t>
        </is>
      </c>
      <c r="I38" s="9" t="inlineStr">
        <is>
          <t>Heating Degree Day</t>
        </is>
      </c>
      <c r="J38" s="9" t="inlineStr">
        <is>
          <t>Cincinatti Airport</t>
        </is>
      </c>
      <c r="K38" s="9" t="n">
        <v/>
      </c>
      <c r="L38" s="9" t="n">
        <v/>
      </c>
      <c r="M38" s="9" t="n">
        <v/>
      </c>
      <c r="N38" s="9" t="n">
        <v>0</v>
      </c>
      <c r="O38" s="9" t="n">
        <v>5000</v>
      </c>
      <c r="P38" s="10">
        <f>O38-N38</f>
        <v/>
      </c>
      <c r="Q38" s="9" t="inlineStr">
        <is>
          <t>true</t>
        </is>
      </c>
    </row>
    <row r="39">
      <c r="A39" s="9" t="inlineStr">
        <is>
          <t>unexplained_result_findetail_position.xlsx</t>
        </is>
      </c>
      <c r="B39" s="9" t="inlineStr">
        <is>
          <t>Drilldown</t>
        </is>
      </c>
      <c r="C39" s="9" t="inlineStr">
        <is>
          <t>Settlement</t>
        </is>
      </c>
      <c r="D39" s="9" t="inlineStr">
        <is>
          <t>new_post</t>
        </is>
      </c>
      <c r="E39" s="9" t="inlineStr">
        <is>
          <t>4861605</t>
        </is>
      </c>
      <c r="F39" s="9" t="inlineStr">
        <is>
          <t>2320121</t>
        </is>
      </c>
      <c r="G39" s="9" t="inlineStr">
        <is>
          <t>FINANCIAL</t>
        </is>
      </c>
      <c r="H39" s="9" t="inlineStr">
        <is>
          <t>SWAP</t>
        </is>
      </c>
      <c r="I39" s="9" t="inlineStr">
        <is>
          <t>Heating Degree Day</t>
        </is>
      </c>
      <c r="J39" s="9" t="inlineStr">
        <is>
          <t>Cincinatti Airport</t>
        </is>
      </c>
      <c r="K39" s="9" t="n">
        <v/>
      </c>
      <c r="L39" s="9" t="n">
        <v/>
      </c>
      <c r="M39" s="9" t="n">
        <v/>
      </c>
      <c r="N39" s="9" t="n">
        <v>0</v>
      </c>
      <c r="O39" s="9" t="n">
        <v>8000</v>
      </c>
      <c r="P39" s="10">
        <f>O39-N39</f>
        <v/>
      </c>
      <c r="Q39" s="9" t="inlineStr">
        <is>
          <t>true</t>
        </is>
      </c>
    </row>
    <row r="40">
      <c r="A40" s="9" t="inlineStr">
        <is>
          <t>unexplained_result_findetail_position.xlsx</t>
        </is>
      </c>
      <c r="B40" s="9" t="inlineStr">
        <is>
          <t>Drilldown</t>
        </is>
      </c>
      <c r="C40" s="9" t="inlineStr">
        <is>
          <t>Settlement</t>
        </is>
      </c>
      <c r="D40" s="9" t="inlineStr">
        <is>
          <t>new_post</t>
        </is>
      </c>
      <c r="E40" s="9" t="inlineStr">
        <is>
          <t>4861624</t>
        </is>
      </c>
      <c r="F40" s="9" t="inlineStr">
        <is>
          <t>2320140</t>
        </is>
      </c>
      <c r="G40" s="9" t="inlineStr">
        <is>
          <t>FINANCIAL</t>
        </is>
      </c>
      <c r="H40" s="9" t="inlineStr">
        <is>
          <t>SWAP</t>
        </is>
      </c>
      <c r="I40" s="9" t="inlineStr">
        <is>
          <t>Heating Degree Day</t>
        </is>
      </c>
      <c r="J40" s="9" t="inlineStr">
        <is>
          <t>Cincinatti Airport</t>
        </is>
      </c>
      <c r="K40" s="9" t="n">
        <v/>
      </c>
      <c r="L40" s="9" t="n">
        <v/>
      </c>
      <c r="M40" s="9" t="n">
        <v/>
      </c>
      <c r="N40" s="9" t="n">
        <v>0</v>
      </c>
      <c r="O40" s="9" t="n">
        <v>2000</v>
      </c>
      <c r="P40" s="10">
        <f>O40-N40</f>
        <v/>
      </c>
      <c r="Q40" s="9" t="inlineStr">
        <is>
          <t>true</t>
        </is>
      </c>
    </row>
    <row r="41">
      <c r="A41" s="9" t="inlineStr">
        <is>
          <t>unexplained_result_findetail_position.xlsx</t>
        </is>
      </c>
      <c r="B41" s="9" t="inlineStr">
        <is>
          <t>Drilldown</t>
        </is>
      </c>
      <c r="C41" s="9" t="inlineStr">
        <is>
          <t>Settlement</t>
        </is>
      </c>
      <c r="D41" s="9" t="inlineStr">
        <is>
          <t>new_post</t>
        </is>
      </c>
      <c r="E41" s="9" t="inlineStr">
        <is>
          <t>4863095</t>
        </is>
      </c>
      <c r="F41" s="9" t="inlineStr">
        <is>
          <t>2320256</t>
        </is>
      </c>
      <c r="G41" s="9" t="inlineStr">
        <is>
          <t>FINANCIAL</t>
        </is>
      </c>
      <c r="H41" s="9" t="inlineStr">
        <is>
          <t>SWAP</t>
        </is>
      </c>
      <c r="I41" s="9" t="inlineStr">
        <is>
          <t>Heating Degree Day</t>
        </is>
      </c>
      <c r="J41" s="9" t="inlineStr">
        <is>
          <t>Cincinatti Airport</t>
        </is>
      </c>
      <c r="K41" s="9" t="n">
        <v/>
      </c>
      <c r="L41" s="9" t="n">
        <v/>
      </c>
      <c r="M41" s="9" t="n">
        <v/>
      </c>
      <c r="N41" s="9" t="n">
        <v>0</v>
      </c>
      <c r="O41" s="9" t="n">
        <v>2000</v>
      </c>
      <c r="P41" s="10">
        <f>O41-N41</f>
        <v/>
      </c>
      <c r="Q41" s="9" t="inlineStr">
        <is>
          <t>true</t>
        </is>
      </c>
    </row>
    <row r="42">
      <c r="A42" s="9" t="inlineStr">
        <is>
          <t>unexplained_result_findetail_position.xlsx</t>
        </is>
      </c>
      <c r="B42" s="9" t="inlineStr">
        <is>
          <t>Drilldown</t>
        </is>
      </c>
      <c r="C42" s="9" t="inlineStr">
        <is>
          <t>Settlement</t>
        </is>
      </c>
      <c r="D42" s="9" t="inlineStr">
        <is>
          <t>new_post</t>
        </is>
      </c>
      <c r="E42" s="9" t="inlineStr">
        <is>
          <t>4863103</t>
        </is>
      </c>
      <c r="F42" s="9" t="inlineStr">
        <is>
          <t>2320264</t>
        </is>
      </c>
      <c r="G42" s="9" t="inlineStr">
        <is>
          <t>FINANCIAL</t>
        </is>
      </c>
      <c r="H42" s="9" t="inlineStr">
        <is>
          <t>SWAP</t>
        </is>
      </c>
      <c r="I42" s="9" t="inlineStr">
        <is>
          <t>Heating Degree Day</t>
        </is>
      </c>
      <c r="J42" s="9" t="inlineStr">
        <is>
          <t>Cincinatti Airport</t>
        </is>
      </c>
      <c r="K42" s="9" t="n">
        <v/>
      </c>
      <c r="L42" s="9" t="n">
        <v/>
      </c>
      <c r="M42" s="9" t="n">
        <v/>
      </c>
      <c r="N42" s="9" t="n">
        <v>0</v>
      </c>
      <c r="O42" s="9" t="n">
        <v>8000</v>
      </c>
      <c r="P42" s="10">
        <f>O42-N42</f>
        <v/>
      </c>
      <c r="Q42" s="9" t="inlineStr">
        <is>
          <t>true</t>
        </is>
      </c>
    </row>
    <row r="43">
      <c r="A43" s="9" t="inlineStr">
        <is>
          <t>unexplained_result_findetail_position.xlsx</t>
        </is>
      </c>
      <c r="B43" s="9" t="inlineStr">
        <is>
          <t>Drilldown</t>
        </is>
      </c>
      <c r="C43" s="9" t="inlineStr">
        <is>
          <t>Settlement</t>
        </is>
      </c>
      <c r="D43" s="9" t="inlineStr">
        <is>
          <t>new_post</t>
        </is>
      </c>
      <c r="E43" s="9" t="inlineStr">
        <is>
          <t>4863110</t>
        </is>
      </c>
      <c r="F43" s="9" t="inlineStr">
        <is>
          <t>2320271</t>
        </is>
      </c>
      <c r="G43" s="9" t="inlineStr">
        <is>
          <t>FINANCIAL</t>
        </is>
      </c>
      <c r="H43" s="9" t="inlineStr">
        <is>
          <t>SWAP</t>
        </is>
      </c>
      <c r="I43" s="9" t="inlineStr">
        <is>
          <t>Heating Degree Day</t>
        </is>
      </c>
      <c r="J43" s="9" t="inlineStr">
        <is>
          <t>Cincinatti Airport</t>
        </is>
      </c>
      <c r="K43" s="9" t="n">
        <v/>
      </c>
      <c r="L43" s="9" t="n">
        <v/>
      </c>
      <c r="M43" s="9" t="n">
        <v/>
      </c>
      <c r="N43" s="9" t="n">
        <v>0</v>
      </c>
      <c r="O43" s="9" t="n">
        <v>2000</v>
      </c>
      <c r="P43" s="10">
        <f>O43-N43</f>
        <v/>
      </c>
      <c r="Q43" s="9" t="inlineStr">
        <is>
          <t>true</t>
        </is>
      </c>
    </row>
    <row r="44">
      <c r="A44" s="9" t="inlineStr">
        <is>
          <t>unexplained_result_findetail_position.xlsx</t>
        </is>
      </c>
      <c r="B44" s="9" t="inlineStr">
        <is>
          <t>Drilldown</t>
        </is>
      </c>
      <c r="C44" s="9" t="inlineStr">
        <is>
          <t>Settlement</t>
        </is>
      </c>
      <c r="D44" s="9" t="inlineStr">
        <is>
          <t>new_post</t>
        </is>
      </c>
      <c r="E44" s="9" t="inlineStr">
        <is>
          <t>4863114</t>
        </is>
      </c>
      <c r="F44" s="9" t="inlineStr">
        <is>
          <t>2320275</t>
        </is>
      </c>
      <c r="G44" s="9" t="inlineStr">
        <is>
          <t>FINANCIAL</t>
        </is>
      </c>
      <c r="H44" s="9" t="inlineStr">
        <is>
          <t>SWAP</t>
        </is>
      </c>
      <c r="I44" s="9" t="inlineStr">
        <is>
          <t>Heating Degree Day</t>
        </is>
      </c>
      <c r="J44" s="9" t="inlineStr">
        <is>
          <t>Cincinatti Airport</t>
        </is>
      </c>
      <c r="K44" s="9" t="n">
        <v/>
      </c>
      <c r="L44" s="9" t="n">
        <v/>
      </c>
      <c r="M44" s="9" t="n">
        <v/>
      </c>
      <c r="N44" s="9" t="n">
        <v>0</v>
      </c>
      <c r="O44" s="9" t="n">
        <v>8000</v>
      </c>
      <c r="P44" s="10">
        <f>O44-N44</f>
        <v/>
      </c>
      <c r="Q44" s="9" t="inlineStr">
        <is>
          <t>true</t>
        </is>
      </c>
    </row>
    <row r="45">
      <c r="A45" s="8" t="inlineStr">
        <is>
          <t>ISSUE - Missing position (post)  (1 rows)</t>
        </is>
      </c>
    </row>
    <row r="46">
      <c r="A46" s="11" t="inlineStr">
        <is>
          <t>unexplained_result_findetail_position.xlsx</t>
        </is>
      </c>
      <c r="B46" s="11" t="inlineStr">
        <is>
          <t>Drilldown</t>
        </is>
      </c>
      <c r="C46" s="11" t="inlineStr">
        <is>
          <t>Settlement</t>
        </is>
      </c>
      <c r="D46" s="11" t="inlineStr">
        <is>
          <t>missing_post</t>
        </is>
      </c>
      <c r="E46" s="11" t="n">
        <v>3247645</v>
      </c>
      <c r="F46" s="11" t="inlineStr">
        <is>
          <t>1787963</t>
        </is>
      </c>
      <c r="G46" s="11" t="inlineStr">
        <is>
          <t>PHYSICAL</t>
        </is>
      </c>
      <c r="H46" s="11" t="inlineStr">
        <is>
          <t>BUY</t>
        </is>
      </c>
      <c r="I46" s="11" t="inlineStr">
        <is>
          <t>Natural Gas</t>
        </is>
      </c>
      <c r="J46" s="11" t="inlineStr">
        <is>
          <t>Houston Ship Channel</t>
        </is>
      </c>
      <c r="K46" s="11" t="n">
        <v/>
      </c>
      <c r="L46" s="11" t="n">
        <v/>
      </c>
      <c r="M46" s="11" t="n">
        <v/>
      </c>
      <c r="N46" s="11" t="n">
        <v>0</v>
      </c>
      <c r="O46" s="11" t="n">
        <v>0</v>
      </c>
      <c r="P46" s="12">
        <f>O46-N46</f>
        <v/>
      </c>
      <c r="Q46" s="11" t="inlineStr">
        <is>
          <t>true</t>
        </is>
      </c>
    </row>
    <row r="47">
      <c r="A47" s="8" t="inlineStr">
        <is>
          <t>FALSE - no issue  (3 rows)</t>
        </is>
      </c>
    </row>
    <row r="48">
      <c r="A48" s="13" t="inlineStr">
        <is>
          <t>unexplained_result_findetail_position.xlsx</t>
        </is>
      </c>
      <c r="B48" s="13" t="inlineStr">
        <is>
          <t>Drilldown</t>
        </is>
      </c>
      <c r="C48" s="13" t="inlineStr">
        <is>
          <t>Settlement</t>
        </is>
      </c>
      <c r="D48" s="13" t="inlineStr">
        <is>
          <t>mismatch</t>
        </is>
      </c>
      <c r="E48" s="13" t="n">
        <v>4893021</v>
      </c>
      <c r="F48" s="13" t="inlineStr">
        <is>
          <t>2333050</t>
        </is>
      </c>
      <c r="G48" s="13" t="inlineStr">
        <is>
          <t>PHYSICAL</t>
        </is>
      </c>
      <c r="H48" s="13" t="inlineStr">
        <is>
          <t>BUY</t>
        </is>
      </c>
      <c r="I48" s="13" t="inlineStr">
        <is>
          <t>Gas Transportation</t>
        </is>
      </c>
      <c r="J48" s="13" t="inlineStr">
        <is>
          <t>TET M2</t>
        </is>
      </c>
      <c r="K48" s="13" t="n">
        <v/>
      </c>
      <c r="L48" s="13" t="n">
        <v/>
      </c>
      <c r="M48" s="13" t="n">
        <v/>
      </c>
      <c r="N48" s="13" t="n">
        <v>786</v>
      </c>
      <c r="O48" s="13" t="n">
        <v>786</v>
      </c>
      <c r="P48" s="14">
        <f>O48-N48</f>
        <v/>
      </c>
      <c r="Q48" s="13" t="inlineStr">
        <is>
          <t>false</t>
        </is>
      </c>
    </row>
    <row r="49">
      <c r="A49" s="13" t="inlineStr">
        <is>
          <t>unexplained_result_findetail_position.xlsx</t>
        </is>
      </c>
      <c r="B49" s="13" t="inlineStr">
        <is>
          <t>Drilldown</t>
        </is>
      </c>
      <c r="C49" s="13" t="inlineStr">
        <is>
          <t>Settlement</t>
        </is>
      </c>
      <c r="D49" s="13" t="inlineStr">
        <is>
          <t>mismatch</t>
        </is>
      </c>
      <c r="E49" s="13" t="n">
        <v>4760336</v>
      </c>
      <c r="F49" s="13" t="inlineStr">
        <is>
          <t>2286187</t>
        </is>
      </c>
      <c r="G49" s="13" t="inlineStr">
        <is>
          <t>PHYSICAL</t>
        </is>
      </c>
      <c r="H49" s="13" t="inlineStr">
        <is>
          <t>BUY</t>
        </is>
      </c>
      <c r="I49" s="13" t="inlineStr">
        <is>
          <t>Gas Transportation</t>
        </is>
      </c>
      <c r="J49" s="13" t="inlineStr">
        <is>
          <t>PGE CG</t>
        </is>
      </c>
      <c r="K49" s="13" t="n">
        <v/>
      </c>
      <c r="L49" s="13" t="n">
        <v/>
      </c>
      <c r="M49" s="13" t="n">
        <v/>
      </c>
      <c r="N49" s="13" t="n">
        <v>1897</v>
      </c>
      <c r="O49" s="13" t="n">
        <v>1897</v>
      </c>
      <c r="P49" s="14">
        <f>O49-N49</f>
        <v/>
      </c>
      <c r="Q49" s="13" t="inlineStr">
        <is>
          <t>false</t>
        </is>
      </c>
    </row>
    <row r="50">
      <c r="A50" s="13" t="inlineStr">
        <is>
          <t>unexplained_result_findetail_position.xlsx</t>
        </is>
      </c>
      <c r="B50" s="13" t="inlineStr">
        <is>
          <t>Drilldown</t>
        </is>
      </c>
      <c r="C50" s="13" t="inlineStr">
        <is>
          <t>Settlement</t>
        </is>
      </c>
      <c r="D50" s="13" t="inlineStr">
        <is>
          <t>mismatch</t>
        </is>
      </c>
      <c r="E50" s="13" t="n">
        <v>4902289</v>
      </c>
      <c r="F50" s="13" t="inlineStr">
        <is>
          <t>2334927</t>
        </is>
      </c>
      <c r="G50" s="13" t="inlineStr">
        <is>
          <t>PHYSICAL</t>
        </is>
      </c>
      <c r="H50" s="13" t="inlineStr">
        <is>
          <t>BUY</t>
        </is>
      </c>
      <c r="I50" s="13" t="inlineStr">
        <is>
          <t>ULSD</t>
        </is>
      </c>
      <c r="J50" s="13" t="inlineStr">
        <is>
          <t>Hopewell Plant</t>
        </is>
      </c>
      <c r="K50" s="13" t="n">
        <v/>
      </c>
      <c r="L50" s="13" t="n">
        <v/>
      </c>
      <c r="M50" s="13" t="n">
        <v/>
      </c>
      <c r="N50" s="13" t="n">
        <v>0</v>
      </c>
      <c r="O50" s="13" t="n">
        <v>0</v>
      </c>
      <c r="P50" s="14">
        <f>O50-N50</f>
        <v/>
      </c>
      <c r="Q50" s="13" t="inlineStr">
        <is>
          <t>false</t>
        </is>
      </c>
    </row>
  </sheetData>
  <mergeCells count="4">
    <mergeCell ref="A45:Q45"/>
    <mergeCell ref="A47:Q47"/>
    <mergeCell ref="A5:Q5"/>
    <mergeCell ref="A9:Q9"/>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50"/>
  <sheetViews>
    <sheetView showGridLines="0" workbookViewId="0">
      <pane ySplit="3" topLeftCell="A4" activePane="bottomLeft" state="frozen"/>
      <selection pane="bottomLeft"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6" customWidth="1" min="14" max="14"/>
    <col width="16" customWidth="1" min="15" max="15"/>
    <col width="16" customWidth="1" min="16" max="16"/>
    <col width="10" customWidth="1" min="17" max="17"/>
  </cols>
  <sheetData>
    <row r="1">
      <c r="A1" s="1" t="inlineStr">
        <is>
          <t>Triage: rowcountsum_mismatch</t>
        </is>
      </c>
    </row>
    <row r="2">
      <c r="A2" s="2" t="inlineStr">
        <is>
          <t>Rows grouped by mismatch type (each is a distinct issue), then FALSE (no issue).</t>
        </is>
      </c>
    </row>
    <row r="4">
      <c r="A4" s="3" t="inlineStr">
        <is>
          <t>source_file</t>
        </is>
      </c>
      <c r="B4" s="3" t="inlineStr">
        <is>
          <t>sheet_name</t>
        </is>
      </c>
      <c r="C4" s="3" t="inlineStr">
        <is>
          <t>process_type</t>
        </is>
      </c>
      <c r="D4" s="3" t="inlineStr">
        <is>
          <t>mismatchtype</t>
        </is>
      </c>
      <c r="E4" s="3" t="inlineStr">
        <is>
          <t>position</t>
        </is>
      </c>
      <c r="F4" s="3" t="inlineStr">
        <is>
          <t>trade</t>
        </is>
      </c>
      <c r="G4" s="3" t="inlineStr">
        <is>
          <t>positionmode</t>
        </is>
      </c>
      <c r="H4" s="3" t="inlineStr">
        <is>
          <t>positiontype</t>
        </is>
      </c>
      <c r="I4" s="3" t="inlineStr">
        <is>
          <t>product</t>
        </is>
      </c>
      <c r="J4" s="3" t="inlineStr">
        <is>
          <t>marketarea</t>
        </is>
      </c>
      <c r="K4" s="3" t="inlineStr">
        <is>
          <t>var_category</t>
        </is>
      </c>
      <c r="L4" s="3" t="inlineStr">
        <is>
          <t>var_id</t>
        </is>
      </c>
      <c r="M4" s="3" t="inlineStr">
        <is>
          <t>comments</t>
        </is>
      </c>
      <c r="N4" s="3" t="inlineStr">
        <is>
          <t>pre_rowcountsum</t>
        </is>
      </c>
      <c r="O4" s="3" t="inlineStr">
        <is>
          <t>post_rowcountsum</t>
        </is>
      </c>
      <c r="P4" s="3" t="inlineStr">
        <is>
          <t>difference (post - pre)</t>
        </is>
      </c>
      <c r="Q4" s="3" t="inlineStr">
        <is>
          <t>rowcountsum_mismatch</t>
        </is>
      </c>
    </row>
    <row r="5">
      <c r="A5" s="8" t="inlineStr">
        <is>
          <t>ISSUE - Mismatch  (3 rows)</t>
        </is>
      </c>
    </row>
    <row r="6">
      <c r="A6" s="15" t="inlineStr">
        <is>
          <t>unexplained_result_findetail_position.xlsx</t>
        </is>
      </c>
      <c r="B6" s="15" t="inlineStr">
        <is>
          <t>Drilldown</t>
        </is>
      </c>
      <c r="C6" s="15" t="inlineStr">
        <is>
          <t>Settlement</t>
        </is>
      </c>
      <c r="D6" s="15" t="inlineStr">
        <is>
          <t>mismatch</t>
        </is>
      </c>
      <c r="E6" s="15" t="n">
        <v>4893021</v>
      </c>
      <c r="F6" s="15" t="inlineStr">
        <is>
          <t>2333050</t>
        </is>
      </c>
      <c r="G6" s="15" t="inlineStr">
        <is>
          <t>PHYSICAL</t>
        </is>
      </c>
      <c r="H6" s="15" t="inlineStr">
        <is>
          <t>BUY</t>
        </is>
      </c>
      <c r="I6" s="15" t="inlineStr">
        <is>
          <t>Gas Transportation</t>
        </is>
      </c>
      <c r="J6" s="15" t="inlineStr">
        <is>
          <t>TET M2</t>
        </is>
      </c>
      <c r="K6" s="15" t="n">
        <v/>
      </c>
      <c r="L6" s="15" t="n">
        <v/>
      </c>
      <c r="M6" s="15" t="n">
        <v/>
      </c>
      <c r="N6" s="15" t="n">
        <v>8</v>
      </c>
      <c r="O6" s="15" t="n">
        <v>6</v>
      </c>
      <c r="P6" s="16">
        <f>O6-N6</f>
        <v/>
      </c>
      <c r="Q6" s="15" t="inlineStr">
        <is>
          <t>true</t>
        </is>
      </c>
    </row>
    <row r="7">
      <c r="A7" s="15" t="inlineStr">
        <is>
          <t>unexplained_result_findetail_position.xlsx</t>
        </is>
      </c>
      <c r="B7" s="15" t="inlineStr">
        <is>
          <t>Drilldown</t>
        </is>
      </c>
      <c r="C7" s="15" t="inlineStr">
        <is>
          <t>Settlement</t>
        </is>
      </c>
      <c r="D7" s="15" t="inlineStr">
        <is>
          <t>mismatch</t>
        </is>
      </c>
      <c r="E7" s="15" t="n">
        <v>4760336</v>
      </c>
      <c r="F7" s="15" t="inlineStr">
        <is>
          <t>2286187</t>
        </is>
      </c>
      <c r="G7" s="15" t="inlineStr">
        <is>
          <t>PHYSICAL</t>
        </is>
      </c>
      <c r="H7" s="15" t="inlineStr">
        <is>
          <t>BUY</t>
        </is>
      </c>
      <c r="I7" s="15" t="inlineStr">
        <is>
          <t>Gas Transportation</t>
        </is>
      </c>
      <c r="J7" s="15" t="inlineStr">
        <is>
          <t>PGE CG</t>
        </is>
      </c>
      <c r="K7" s="15" t="n">
        <v/>
      </c>
      <c r="L7" s="15" t="n">
        <v/>
      </c>
      <c r="M7" s="15" t="n">
        <v/>
      </c>
      <c r="N7" s="15" t="n">
        <v>14</v>
      </c>
      <c r="O7" s="15" t="n">
        <v>3</v>
      </c>
      <c r="P7" s="16">
        <f>O7-N7</f>
        <v/>
      </c>
      <c r="Q7" s="15" t="inlineStr">
        <is>
          <t>true</t>
        </is>
      </c>
    </row>
    <row r="8">
      <c r="A8" s="15" t="inlineStr">
        <is>
          <t>unexplained_result_findetail_position.xlsx</t>
        </is>
      </c>
      <c r="B8" s="15" t="inlineStr">
        <is>
          <t>Drilldown</t>
        </is>
      </c>
      <c r="C8" s="15" t="inlineStr">
        <is>
          <t>Settlement</t>
        </is>
      </c>
      <c r="D8" s="15" t="inlineStr">
        <is>
          <t>mismatch</t>
        </is>
      </c>
      <c r="E8" s="15" t="n">
        <v>4902289</v>
      </c>
      <c r="F8" s="15" t="inlineStr">
        <is>
          <t>2334927</t>
        </is>
      </c>
      <c r="G8" s="15" t="inlineStr">
        <is>
          <t>PHYSICAL</t>
        </is>
      </c>
      <c r="H8" s="15" t="inlineStr">
        <is>
          <t>BUY</t>
        </is>
      </c>
      <c r="I8" s="15" t="inlineStr">
        <is>
          <t>ULSD</t>
        </is>
      </c>
      <c r="J8" s="15" t="inlineStr">
        <is>
          <t>Hopewell Plant</t>
        </is>
      </c>
      <c r="K8" s="15" t="n">
        <v/>
      </c>
      <c r="L8" s="15" t="n">
        <v/>
      </c>
      <c r="M8" s="15" t="n">
        <v/>
      </c>
      <c r="N8" s="15" t="n">
        <v>1</v>
      </c>
      <c r="O8" s="15" t="n">
        <v>2</v>
      </c>
      <c r="P8" s="16">
        <f>O8-N8</f>
        <v/>
      </c>
      <c r="Q8" s="15" t="inlineStr">
        <is>
          <t>true</t>
        </is>
      </c>
    </row>
    <row r="9">
      <c r="A9" s="8" t="inlineStr">
        <is>
          <t>ISSUE - New position (post only)  (35 rows)</t>
        </is>
      </c>
    </row>
    <row r="10">
      <c r="A10" s="9" t="inlineStr">
        <is>
          <t>unexplained_result_findetail_position.xlsx</t>
        </is>
      </c>
      <c r="B10" s="9" t="inlineStr">
        <is>
          <t>Drilldown</t>
        </is>
      </c>
      <c r="C10" s="9" t="inlineStr">
        <is>
          <t>Settlement</t>
        </is>
      </c>
      <c r="D10" s="9" t="inlineStr">
        <is>
          <t>new_post</t>
        </is>
      </c>
      <c r="E10" s="9" t="n">
        <v>4347266</v>
      </c>
      <c r="F10" s="9" t="n">
        <v/>
      </c>
      <c r="G10" s="9" t="inlineStr">
        <is>
          <t>PHYSICAL</t>
        </is>
      </c>
      <c r="H10" s="9" t="inlineStr">
        <is>
          <t>BUY</t>
        </is>
      </c>
      <c r="I10" s="9" t="inlineStr">
        <is>
          <t>Gas Transportation</t>
        </is>
      </c>
      <c r="J10" s="9" t="inlineStr">
        <is>
          <t>Tennessee Z4-200 Leg</t>
        </is>
      </c>
      <c r="K10" s="9" t="n">
        <v/>
      </c>
      <c r="L10" s="9" t="n">
        <v/>
      </c>
      <c r="M10" s="9" t="n">
        <v/>
      </c>
      <c r="N10" s="9" t="n">
        <v>0</v>
      </c>
      <c r="O10" s="9" t="n">
        <v>1</v>
      </c>
      <c r="P10" s="10">
        <f>O10-N10</f>
        <v/>
      </c>
      <c r="Q10" s="9" t="inlineStr">
        <is>
          <t>true</t>
        </is>
      </c>
    </row>
    <row r="11">
      <c r="A11" s="9" t="inlineStr">
        <is>
          <t>unexplained_result_findetail_position.xlsx</t>
        </is>
      </c>
      <c r="B11" s="9" t="inlineStr">
        <is>
          <t>Drilldown</t>
        </is>
      </c>
      <c r="C11" s="9" t="inlineStr">
        <is>
          <t>Settlement</t>
        </is>
      </c>
      <c r="D11" s="9" t="inlineStr">
        <is>
          <t>new_post</t>
        </is>
      </c>
      <c r="E11" s="9" t="n">
        <v>4676738</v>
      </c>
      <c r="F11" s="9" t="inlineStr">
        <is>
          <t>2258482</t>
        </is>
      </c>
      <c r="G11" s="9" t="inlineStr">
        <is>
          <t>FINANCIAL</t>
        </is>
      </c>
      <c r="H11" s="9" t="inlineStr">
        <is>
          <t>SWAP</t>
        </is>
      </c>
      <c r="I11" s="9" t="inlineStr">
        <is>
          <t>Heating Degree Day</t>
        </is>
      </c>
      <c r="J11" s="9" t="inlineStr">
        <is>
          <t>Chicago OHare Airport</t>
        </is>
      </c>
      <c r="K11" s="9" t="n">
        <v/>
      </c>
      <c r="L11" s="9" t="n">
        <v/>
      </c>
      <c r="M11" s="9" t="n">
        <v/>
      </c>
      <c r="N11" s="9" t="n">
        <v>0</v>
      </c>
      <c r="O11" s="9" t="n">
        <v>2</v>
      </c>
      <c r="P11" s="10">
        <f>O11-N11</f>
        <v/>
      </c>
      <c r="Q11" s="9" t="inlineStr">
        <is>
          <t>true</t>
        </is>
      </c>
    </row>
    <row r="12">
      <c r="A12" s="9" t="inlineStr">
        <is>
          <t>unexplained_result_findetail_position.xlsx</t>
        </is>
      </c>
      <c r="B12" s="9" t="inlineStr">
        <is>
          <t>Drilldown</t>
        </is>
      </c>
      <c r="C12" s="9" t="inlineStr">
        <is>
          <t>Settlement</t>
        </is>
      </c>
      <c r="D12" s="9" t="inlineStr">
        <is>
          <t>new_post</t>
        </is>
      </c>
      <c r="E12" s="9" t="n">
        <v>4677600</v>
      </c>
      <c r="F12" s="9" t="inlineStr">
        <is>
          <t>2258847</t>
        </is>
      </c>
      <c r="G12" s="9" t="inlineStr">
        <is>
          <t>FINANCIAL</t>
        </is>
      </c>
      <c r="H12" s="9" t="inlineStr">
        <is>
          <t>SWAP</t>
        </is>
      </c>
      <c r="I12" s="9" t="inlineStr">
        <is>
          <t>Heating Degree Day</t>
        </is>
      </c>
      <c r="J12" s="9" t="inlineStr">
        <is>
          <t>Chicago OHare Airport</t>
        </is>
      </c>
      <c r="K12" s="9" t="n">
        <v/>
      </c>
      <c r="L12" s="9" t="n">
        <v/>
      </c>
      <c r="M12" s="9" t="n">
        <v/>
      </c>
      <c r="N12" s="9" t="n">
        <v>0</v>
      </c>
      <c r="O12" s="9" t="n">
        <v>2</v>
      </c>
      <c r="P12" s="10">
        <f>O12-N12</f>
        <v/>
      </c>
      <c r="Q12" s="9" t="inlineStr">
        <is>
          <t>true</t>
        </is>
      </c>
    </row>
    <row r="13">
      <c r="A13" s="9" t="inlineStr">
        <is>
          <t>unexplained_result_findetail_position.xlsx</t>
        </is>
      </c>
      <c r="B13" s="9" t="inlineStr">
        <is>
          <t>Drilldown</t>
        </is>
      </c>
      <c r="C13" s="9" t="inlineStr">
        <is>
          <t>Settlement</t>
        </is>
      </c>
      <c r="D13" s="9" t="inlineStr">
        <is>
          <t>new_post</t>
        </is>
      </c>
      <c r="E13" s="9" t="n">
        <v>4677607</v>
      </c>
      <c r="F13" s="9" t="inlineStr">
        <is>
          <t>2258851</t>
        </is>
      </c>
      <c r="G13" s="9" t="inlineStr">
        <is>
          <t>FINANCIAL</t>
        </is>
      </c>
      <c r="H13" s="9" t="inlineStr">
        <is>
          <t>SWAP</t>
        </is>
      </c>
      <c r="I13" s="9" t="inlineStr">
        <is>
          <t>Heating Degree Day</t>
        </is>
      </c>
      <c r="J13" s="9" t="inlineStr">
        <is>
          <t>Chicago OHare Airport</t>
        </is>
      </c>
      <c r="K13" s="9" t="n">
        <v/>
      </c>
      <c r="L13" s="9" t="n">
        <v/>
      </c>
      <c r="M13" s="9" t="n">
        <v/>
      </c>
      <c r="N13" s="9" t="n">
        <v>0</v>
      </c>
      <c r="O13" s="9" t="n">
        <v>2</v>
      </c>
      <c r="P13" s="10">
        <f>O13-N13</f>
        <v/>
      </c>
      <c r="Q13" s="9" t="inlineStr">
        <is>
          <t>true</t>
        </is>
      </c>
    </row>
    <row r="14">
      <c r="A14" s="9" t="inlineStr">
        <is>
          <t>unexplained_result_findetail_position.xlsx</t>
        </is>
      </c>
      <c r="B14" s="9" t="inlineStr">
        <is>
          <t>Drilldown</t>
        </is>
      </c>
      <c r="C14" s="9" t="inlineStr">
        <is>
          <t>Settlement</t>
        </is>
      </c>
      <c r="D14" s="9" t="inlineStr">
        <is>
          <t>new_post</t>
        </is>
      </c>
      <c r="E14" s="9" t="n">
        <v>4758127</v>
      </c>
      <c r="F14" s="9" t="inlineStr">
        <is>
          <t>2285953</t>
        </is>
      </c>
      <c r="G14" s="9" t="inlineStr">
        <is>
          <t>FINANCIAL</t>
        </is>
      </c>
      <c r="H14" s="9" t="inlineStr">
        <is>
          <t>BUY</t>
        </is>
      </c>
      <c r="I14" s="9" t="inlineStr">
        <is>
          <t>Heating Degree Day</t>
        </is>
      </c>
      <c r="J14" s="9" t="inlineStr">
        <is>
          <t>DFW Airport</t>
        </is>
      </c>
      <c r="K14" s="9" t="n">
        <v/>
      </c>
      <c r="L14" s="9" t="n">
        <v/>
      </c>
      <c r="M14" s="9" t="n">
        <v/>
      </c>
      <c r="N14" s="9" t="n">
        <v>0</v>
      </c>
      <c r="O14" s="9" t="n">
        <v>1</v>
      </c>
      <c r="P14" s="10">
        <f>O14-N14</f>
        <v/>
      </c>
      <c r="Q14" s="9" t="inlineStr">
        <is>
          <t>true</t>
        </is>
      </c>
    </row>
    <row r="15">
      <c r="A15" s="9" t="inlineStr">
        <is>
          <t>unexplained_result_findetail_position.xlsx</t>
        </is>
      </c>
      <c r="B15" s="9" t="inlineStr">
        <is>
          <t>Drilldown</t>
        </is>
      </c>
      <c r="C15" s="9" t="inlineStr">
        <is>
          <t>Settlement</t>
        </is>
      </c>
      <c r="D15" s="9" t="inlineStr">
        <is>
          <t>new_post</t>
        </is>
      </c>
      <c r="E15" s="9" t="inlineStr">
        <is>
          <t>4758128</t>
        </is>
      </c>
      <c r="F15" s="9" t="inlineStr">
        <is>
          <t>2285953</t>
        </is>
      </c>
      <c r="G15" s="9" t="inlineStr">
        <is>
          <t>FINANCIAL</t>
        </is>
      </c>
      <c r="H15" s="9" t="inlineStr">
        <is>
          <t>BUY</t>
        </is>
      </c>
      <c r="I15" s="9" t="inlineStr">
        <is>
          <t>Heating Degree Day</t>
        </is>
      </c>
      <c r="J15" s="9" t="inlineStr">
        <is>
          <t xml:space="preserve">Houston - Bush Intercontinental </t>
        </is>
      </c>
      <c r="K15" s="9" t="n">
        <v/>
      </c>
      <c r="L15" s="9" t="n">
        <v/>
      </c>
      <c r="M15" s="9" t="n">
        <v/>
      </c>
      <c r="N15" s="9" t="n">
        <v>0</v>
      </c>
      <c r="O15" s="9" t="n">
        <v>1</v>
      </c>
      <c r="P15" s="10">
        <f>O15-N15</f>
        <v/>
      </c>
      <c r="Q15" s="9" t="inlineStr">
        <is>
          <t>true</t>
        </is>
      </c>
    </row>
    <row r="16">
      <c r="A16" s="9" t="inlineStr">
        <is>
          <t>unexplained_result_findetail_position.xlsx</t>
        </is>
      </c>
      <c r="B16" s="9" t="inlineStr">
        <is>
          <t>Drilldown</t>
        </is>
      </c>
      <c r="C16" s="9" t="inlineStr">
        <is>
          <t>Settlement</t>
        </is>
      </c>
      <c r="D16" s="9" t="inlineStr">
        <is>
          <t>new_post</t>
        </is>
      </c>
      <c r="E16" s="9" t="inlineStr">
        <is>
          <t>4760073</t>
        </is>
      </c>
      <c r="F16" s="9" t="inlineStr">
        <is>
          <t>2286035</t>
        </is>
      </c>
      <c r="G16" s="9" t="inlineStr">
        <is>
          <t>FINANCIAL</t>
        </is>
      </c>
      <c r="H16" s="9" t="inlineStr">
        <is>
          <t>SELL</t>
        </is>
      </c>
      <c r="I16" s="9" t="inlineStr">
        <is>
          <t>Heating Degree Day</t>
        </is>
      </c>
      <c r="J16" s="9" t="inlineStr">
        <is>
          <t>DFW Airport</t>
        </is>
      </c>
      <c r="K16" s="9" t="n">
        <v/>
      </c>
      <c r="L16" s="9" t="n">
        <v/>
      </c>
      <c r="M16" s="9" t="n">
        <v/>
      </c>
      <c r="N16" s="9" t="n">
        <v>0</v>
      </c>
      <c r="O16" s="9" t="n">
        <v>1</v>
      </c>
      <c r="P16" s="10">
        <f>O16-N16</f>
        <v/>
      </c>
      <c r="Q16" s="9" t="inlineStr">
        <is>
          <t>true</t>
        </is>
      </c>
    </row>
    <row r="17">
      <c r="A17" s="9" t="inlineStr">
        <is>
          <t>unexplained_result_findetail_position.xlsx</t>
        </is>
      </c>
      <c r="B17" s="9" t="inlineStr">
        <is>
          <t>Drilldown</t>
        </is>
      </c>
      <c r="C17" s="9" t="inlineStr">
        <is>
          <t>Settlement</t>
        </is>
      </c>
      <c r="D17" s="9" t="inlineStr">
        <is>
          <t>new_post</t>
        </is>
      </c>
      <c r="E17" s="9" t="inlineStr">
        <is>
          <t>4760074</t>
        </is>
      </c>
      <c r="F17" s="9" t="inlineStr">
        <is>
          <t>2286035</t>
        </is>
      </c>
      <c r="G17" s="9" t="inlineStr">
        <is>
          <t>FINANCIAL</t>
        </is>
      </c>
      <c r="H17" s="9" t="inlineStr">
        <is>
          <t>SELL</t>
        </is>
      </c>
      <c r="I17" s="9" t="inlineStr">
        <is>
          <t>Heating Degree Day</t>
        </is>
      </c>
      <c r="J17" s="9" t="inlineStr">
        <is>
          <t xml:space="preserve">Houston - Bush Intercontinental </t>
        </is>
      </c>
      <c r="K17" s="9" t="n">
        <v/>
      </c>
      <c r="L17" s="9" t="n">
        <v/>
      </c>
      <c r="M17" s="9" t="n">
        <v/>
      </c>
      <c r="N17" s="9" t="n">
        <v>0</v>
      </c>
      <c r="O17" s="9" t="n">
        <v>1</v>
      </c>
      <c r="P17" s="10">
        <f>O17-N17</f>
        <v/>
      </c>
      <c r="Q17" s="9" t="inlineStr">
        <is>
          <t>true</t>
        </is>
      </c>
    </row>
    <row r="18">
      <c r="A18" s="9" t="inlineStr">
        <is>
          <t>unexplained_result_findetail_position.xlsx</t>
        </is>
      </c>
      <c r="B18" s="9" t="inlineStr">
        <is>
          <t>Drilldown</t>
        </is>
      </c>
      <c r="C18" s="9" t="inlineStr">
        <is>
          <t>Settlement</t>
        </is>
      </c>
      <c r="D18" s="9" t="inlineStr">
        <is>
          <t>new_post</t>
        </is>
      </c>
      <c r="E18" s="9" t="inlineStr">
        <is>
          <t>4760096</t>
        </is>
      </c>
      <c r="F18" s="9" t="inlineStr">
        <is>
          <t>2286057</t>
        </is>
      </c>
      <c r="G18" s="9" t="inlineStr">
        <is>
          <t>FINANCIAL</t>
        </is>
      </c>
      <c r="H18" s="9" t="inlineStr">
        <is>
          <t>BUY</t>
        </is>
      </c>
      <c r="I18" s="9" t="inlineStr">
        <is>
          <t>Heating Degree Day</t>
        </is>
      </c>
      <c r="J18" s="9" t="inlineStr">
        <is>
          <t xml:space="preserve">Houston - Bush Intercontinental </t>
        </is>
      </c>
      <c r="K18" s="9" t="n">
        <v/>
      </c>
      <c r="L18" s="9" t="n">
        <v/>
      </c>
      <c r="M18" s="9" t="n">
        <v/>
      </c>
      <c r="N18" s="9" t="n">
        <v>0</v>
      </c>
      <c r="O18" s="9" t="n">
        <v>1</v>
      </c>
      <c r="P18" s="10">
        <f>O18-N18</f>
        <v/>
      </c>
      <c r="Q18" s="9" t="inlineStr">
        <is>
          <t>true</t>
        </is>
      </c>
    </row>
    <row r="19">
      <c r="A19" s="9" t="inlineStr">
        <is>
          <t>unexplained_result_findetail_position.xlsx</t>
        </is>
      </c>
      <c r="B19" s="9" t="inlineStr">
        <is>
          <t>Drilldown</t>
        </is>
      </c>
      <c r="C19" s="9" t="inlineStr">
        <is>
          <t>Settlement</t>
        </is>
      </c>
      <c r="D19" s="9" t="inlineStr">
        <is>
          <t>new_post</t>
        </is>
      </c>
      <c r="E19" s="9" t="inlineStr">
        <is>
          <t>4760101</t>
        </is>
      </c>
      <c r="F19" s="9" t="inlineStr">
        <is>
          <t>2286057</t>
        </is>
      </c>
      <c r="G19" s="9" t="inlineStr">
        <is>
          <t>FINANCIAL</t>
        </is>
      </c>
      <c r="H19" s="9" t="inlineStr">
        <is>
          <t>BUY</t>
        </is>
      </c>
      <c r="I19" s="9" t="inlineStr">
        <is>
          <t>Heating Degree Day</t>
        </is>
      </c>
      <c r="J19" s="9" t="inlineStr">
        <is>
          <t>DFW Airport</t>
        </is>
      </c>
      <c r="K19" s="9" t="n">
        <v/>
      </c>
      <c r="L19" s="9" t="n">
        <v/>
      </c>
      <c r="M19" s="9" t="n">
        <v/>
      </c>
      <c r="N19" s="9" t="n">
        <v>0</v>
      </c>
      <c r="O19" s="9" t="n">
        <v>1</v>
      </c>
      <c r="P19" s="10">
        <f>O19-N19</f>
        <v/>
      </c>
      <c r="Q19" s="9" t="inlineStr">
        <is>
          <t>true</t>
        </is>
      </c>
    </row>
    <row r="20">
      <c r="A20" s="9" t="inlineStr">
        <is>
          <t>unexplained_result_findetail_position.xlsx</t>
        </is>
      </c>
      <c r="B20" s="9" t="inlineStr">
        <is>
          <t>Drilldown</t>
        </is>
      </c>
      <c r="C20" s="9" t="inlineStr">
        <is>
          <t>Settlement</t>
        </is>
      </c>
      <c r="D20" s="9" t="inlineStr">
        <is>
          <t>new_post</t>
        </is>
      </c>
      <c r="E20" s="9" t="inlineStr">
        <is>
          <t>4773053</t>
        </is>
      </c>
      <c r="F20" s="9" t="inlineStr">
        <is>
          <t>2290356</t>
        </is>
      </c>
      <c r="G20" s="9" t="inlineStr">
        <is>
          <t>FINANCIAL</t>
        </is>
      </c>
      <c r="H20" s="9" t="inlineStr">
        <is>
          <t>SWAP</t>
        </is>
      </c>
      <c r="I20" s="9" t="inlineStr">
        <is>
          <t>Heating Degree Day</t>
        </is>
      </c>
      <c r="J20" s="9" t="inlineStr">
        <is>
          <t>PHL Airport</t>
        </is>
      </c>
      <c r="K20" s="9" t="n">
        <v/>
      </c>
      <c r="L20" s="9" t="n">
        <v/>
      </c>
      <c r="M20" s="9" t="n">
        <v/>
      </c>
      <c r="N20" s="9" t="n">
        <v>0</v>
      </c>
      <c r="O20" s="9" t="n">
        <v>2</v>
      </c>
      <c r="P20" s="10">
        <f>O20-N20</f>
        <v/>
      </c>
      <c r="Q20" s="9" t="inlineStr">
        <is>
          <t>true</t>
        </is>
      </c>
    </row>
    <row r="21">
      <c r="A21" s="9" t="inlineStr">
        <is>
          <t>unexplained_result_findetail_position.xlsx</t>
        </is>
      </c>
      <c r="B21" s="9" t="inlineStr">
        <is>
          <t>Drilldown</t>
        </is>
      </c>
      <c r="C21" s="9" t="inlineStr">
        <is>
          <t>Settlement</t>
        </is>
      </c>
      <c r="D21" s="9" t="inlineStr">
        <is>
          <t>new_post</t>
        </is>
      </c>
      <c r="E21" s="9" t="inlineStr">
        <is>
          <t>4773058</t>
        </is>
      </c>
      <c r="F21" s="9" t="inlineStr">
        <is>
          <t>2290358</t>
        </is>
      </c>
      <c r="G21" s="9" t="inlineStr">
        <is>
          <t>FINANCIAL</t>
        </is>
      </c>
      <c r="H21" s="9" t="inlineStr">
        <is>
          <t>SWAP</t>
        </is>
      </c>
      <c r="I21" s="9" t="inlineStr">
        <is>
          <t>Heating Degree Day</t>
        </is>
      </c>
      <c r="J21" s="9" t="inlineStr">
        <is>
          <t>PHL Airport</t>
        </is>
      </c>
      <c r="K21" s="9" t="n">
        <v/>
      </c>
      <c r="L21" s="9" t="n">
        <v/>
      </c>
      <c r="M21" s="9" t="n">
        <v/>
      </c>
      <c r="N21" s="9" t="n">
        <v>0</v>
      </c>
      <c r="O21" s="9" t="n">
        <v>2</v>
      </c>
      <c r="P21" s="10">
        <f>O21-N21</f>
        <v/>
      </c>
      <c r="Q21" s="9" t="inlineStr">
        <is>
          <t>true</t>
        </is>
      </c>
    </row>
    <row r="22">
      <c r="A22" s="9" t="inlineStr">
        <is>
          <t>unexplained_result_findetail_position.xlsx</t>
        </is>
      </c>
      <c r="B22" s="9" t="inlineStr">
        <is>
          <t>Drilldown</t>
        </is>
      </c>
      <c r="C22" s="9" t="inlineStr">
        <is>
          <t>Settlement</t>
        </is>
      </c>
      <c r="D22" s="9" t="inlineStr">
        <is>
          <t>new_post</t>
        </is>
      </c>
      <c r="E22" s="9" t="inlineStr">
        <is>
          <t>4773171</t>
        </is>
      </c>
      <c r="F22" s="9" t="inlineStr">
        <is>
          <t>2290394</t>
        </is>
      </c>
      <c r="G22" s="9" t="inlineStr">
        <is>
          <t>FINANCIAL</t>
        </is>
      </c>
      <c r="H22" s="9" t="inlineStr">
        <is>
          <t>SWAP</t>
        </is>
      </c>
      <c r="I22" s="9" t="inlineStr">
        <is>
          <t>Heating Degree Day</t>
        </is>
      </c>
      <c r="J22" s="9" t="inlineStr">
        <is>
          <t>BOS Airport</t>
        </is>
      </c>
      <c r="K22" s="9" t="n">
        <v/>
      </c>
      <c r="L22" s="9" t="n">
        <v/>
      </c>
      <c r="M22" s="9" t="n">
        <v/>
      </c>
      <c r="N22" s="9" t="n">
        <v>0</v>
      </c>
      <c r="O22" s="9" t="n">
        <v>2</v>
      </c>
      <c r="P22" s="10">
        <f>O22-N22</f>
        <v/>
      </c>
      <c r="Q22" s="9" t="inlineStr">
        <is>
          <t>true</t>
        </is>
      </c>
    </row>
    <row r="23">
      <c r="A23" s="9" t="inlineStr">
        <is>
          <t>unexplained_result_findetail_position.xlsx</t>
        </is>
      </c>
      <c r="B23" s="9" t="inlineStr">
        <is>
          <t>Drilldown</t>
        </is>
      </c>
      <c r="C23" s="9" t="inlineStr">
        <is>
          <t>Settlement</t>
        </is>
      </c>
      <c r="D23" s="9" t="inlineStr">
        <is>
          <t>new_post</t>
        </is>
      </c>
      <c r="E23" s="9" t="inlineStr">
        <is>
          <t>4773174</t>
        </is>
      </c>
      <c r="F23" s="9" t="inlineStr">
        <is>
          <t>2290395</t>
        </is>
      </c>
      <c r="G23" s="9" t="inlineStr">
        <is>
          <t>FINANCIAL</t>
        </is>
      </c>
      <c r="H23" s="9" t="inlineStr">
        <is>
          <t>SWAP</t>
        </is>
      </c>
      <c r="I23" s="9" t="inlineStr">
        <is>
          <t>Heating Degree Day</t>
        </is>
      </c>
      <c r="J23" s="9" t="inlineStr">
        <is>
          <t>BOS Airport</t>
        </is>
      </c>
      <c r="K23" s="9" t="n">
        <v/>
      </c>
      <c r="L23" s="9" t="n">
        <v/>
      </c>
      <c r="M23" s="9" t="n">
        <v/>
      </c>
      <c r="N23" s="9" t="n">
        <v>0</v>
      </c>
      <c r="O23" s="9" t="n">
        <v>2</v>
      </c>
      <c r="P23" s="10">
        <f>O23-N23</f>
        <v/>
      </c>
      <c r="Q23" s="9" t="inlineStr">
        <is>
          <t>true</t>
        </is>
      </c>
    </row>
    <row r="24">
      <c r="A24" s="9" t="inlineStr">
        <is>
          <t>unexplained_result_findetail_position.xlsx</t>
        </is>
      </c>
      <c r="B24" s="9" t="inlineStr">
        <is>
          <t>Drilldown</t>
        </is>
      </c>
      <c r="C24" s="9" t="inlineStr">
        <is>
          <t>Settlement</t>
        </is>
      </c>
      <c r="D24" s="9" t="inlineStr">
        <is>
          <t>new_post</t>
        </is>
      </c>
      <c r="E24" s="9" t="inlineStr">
        <is>
          <t>4773796</t>
        </is>
      </c>
      <c r="F24" s="9" t="inlineStr">
        <is>
          <t>2290712</t>
        </is>
      </c>
      <c r="G24" s="9" t="inlineStr">
        <is>
          <t>FINANCIAL</t>
        </is>
      </c>
      <c r="H24" s="9" t="inlineStr">
        <is>
          <t>SWAP</t>
        </is>
      </c>
      <c r="I24" s="9" t="inlineStr">
        <is>
          <t>Heating Degree Day</t>
        </is>
      </c>
      <c r="J24" s="9" t="inlineStr">
        <is>
          <t>PHL Airport</t>
        </is>
      </c>
      <c r="K24" s="9" t="n">
        <v/>
      </c>
      <c r="L24" s="9" t="n">
        <v/>
      </c>
      <c r="M24" s="9" t="n">
        <v/>
      </c>
      <c r="N24" s="9" t="n">
        <v>0</v>
      </c>
      <c r="O24" s="9" t="n">
        <v>2</v>
      </c>
      <c r="P24" s="10">
        <f>O24-N24</f>
        <v/>
      </c>
      <c r="Q24" s="9" t="inlineStr">
        <is>
          <t>true</t>
        </is>
      </c>
    </row>
    <row r="25">
      <c r="A25" s="9" t="inlineStr">
        <is>
          <t>unexplained_result_findetail_position.xlsx</t>
        </is>
      </c>
      <c r="B25" s="9" t="inlineStr">
        <is>
          <t>Drilldown</t>
        </is>
      </c>
      <c r="C25" s="9" t="inlineStr">
        <is>
          <t>Settlement</t>
        </is>
      </c>
      <c r="D25" s="9" t="inlineStr">
        <is>
          <t>new_post</t>
        </is>
      </c>
      <c r="E25" s="9" t="inlineStr">
        <is>
          <t>4773836</t>
        </is>
      </c>
      <c r="F25" s="9" t="inlineStr">
        <is>
          <t>2290755</t>
        </is>
      </c>
      <c r="G25" s="9" t="inlineStr">
        <is>
          <t>FINANCIAL</t>
        </is>
      </c>
      <c r="H25" s="9" t="inlineStr">
        <is>
          <t>SWAP</t>
        </is>
      </c>
      <c r="I25" s="9" t="inlineStr">
        <is>
          <t>Heating Degree Day</t>
        </is>
      </c>
      <c r="J25" s="9" t="inlineStr">
        <is>
          <t>PHL Airport</t>
        </is>
      </c>
      <c r="K25" s="9" t="n">
        <v/>
      </c>
      <c r="L25" s="9" t="n">
        <v/>
      </c>
      <c r="M25" s="9" t="n">
        <v/>
      </c>
      <c r="N25" s="9" t="n">
        <v>0</v>
      </c>
      <c r="O25" s="9" t="n">
        <v>2</v>
      </c>
      <c r="P25" s="10">
        <f>O25-N25</f>
        <v/>
      </c>
      <c r="Q25" s="9" t="inlineStr">
        <is>
          <t>true</t>
        </is>
      </c>
    </row>
    <row r="26">
      <c r="A26" s="9" t="inlineStr">
        <is>
          <t>unexplained_result_findetail_position.xlsx</t>
        </is>
      </c>
      <c r="B26" s="9" t="inlineStr">
        <is>
          <t>Drilldown</t>
        </is>
      </c>
      <c r="C26" s="9" t="inlineStr">
        <is>
          <t>Settlement</t>
        </is>
      </c>
      <c r="D26" s="9" t="inlineStr">
        <is>
          <t>new_post</t>
        </is>
      </c>
      <c r="E26" s="9" t="inlineStr">
        <is>
          <t>4773891</t>
        </is>
      </c>
      <c r="F26" s="9" t="inlineStr">
        <is>
          <t>2290805</t>
        </is>
      </c>
      <c r="G26" s="9" t="inlineStr">
        <is>
          <t>FINANCIAL</t>
        </is>
      </c>
      <c r="H26" s="9" t="inlineStr">
        <is>
          <t>SWAP</t>
        </is>
      </c>
      <c r="I26" s="9" t="inlineStr">
        <is>
          <t>Heating Degree Day</t>
        </is>
      </c>
      <c r="J26" s="9" t="inlineStr">
        <is>
          <t>BOS Airport</t>
        </is>
      </c>
      <c r="K26" s="9" t="n">
        <v/>
      </c>
      <c r="L26" s="9" t="n">
        <v/>
      </c>
      <c r="M26" s="9" t="n">
        <v/>
      </c>
      <c r="N26" s="9" t="n">
        <v>0</v>
      </c>
      <c r="O26" s="9" t="n">
        <v>2</v>
      </c>
      <c r="P26" s="10">
        <f>O26-N26</f>
        <v/>
      </c>
      <c r="Q26" s="9" t="inlineStr">
        <is>
          <t>true</t>
        </is>
      </c>
    </row>
    <row r="27">
      <c r="A27" s="9" t="inlineStr">
        <is>
          <t>unexplained_result_findetail_position.xlsx</t>
        </is>
      </c>
      <c r="B27" s="9" t="inlineStr">
        <is>
          <t>Drilldown</t>
        </is>
      </c>
      <c r="C27" s="9" t="inlineStr">
        <is>
          <t>Settlement</t>
        </is>
      </c>
      <c r="D27" s="9" t="inlineStr">
        <is>
          <t>new_post</t>
        </is>
      </c>
      <c r="E27" s="9" t="inlineStr">
        <is>
          <t>4773927</t>
        </is>
      </c>
      <c r="F27" s="9" t="inlineStr">
        <is>
          <t>2290843</t>
        </is>
      </c>
      <c r="G27" s="9" t="inlineStr">
        <is>
          <t>FINANCIAL</t>
        </is>
      </c>
      <c r="H27" s="9" t="inlineStr">
        <is>
          <t>SWAP</t>
        </is>
      </c>
      <c r="I27" s="9" t="inlineStr">
        <is>
          <t>Heating Degree Day</t>
        </is>
      </c>
      <c r="J27" s="9" t="inlineStr">
        <is>
          <t>BOS Airport</t>
        </is>
      </c>
      <c r="K27" s="9" t="n">
        <v/>
      </c>
      <c r="L27" s="9" t="n">
        <v/>
      </c>
      <c r="M27" s="9" t="n">
        <v/>
      </c>
      <c r="N27" s="9" t="n">
        <v>0</v>
      </c>
      <c r="O27" s="9" t="n">
        <v>2</v>
      </c>
      <c r="P27" s="10">
        <f>O27-N27</f>
        <v/>
      </c>
      <c r="Q27" s="9" t="inlineStr">
        <is>
          <t>true</t>
        </is>
      </c>
    </row>
    <row r="28">
      <c r="A28" s="9" t="inlineStr">
        <is>
          <t>unexplained_result_findetail_position.xlsx</t>
        </is>
      </c>
      <c r="B28" s="9" t="inlineStr">
        <is>
          <t>Drilldown</t>
        </is>
      </c>
      <c r="C28" s="9" t="inlineStr">
        <is>
          <t>Settlement</t>
        </is>
      </c>
      <c r="D28" s="9" t="inlineStr">
        <is>
          <t>new_post</t>
        </is>
      </c>
      <c r="E28" s="9" t="inlineStr">
        <is>
          <t>4773983</t>
        </is>
      </c>
      <c r="F28" s="9" t="inlineStr">
        <is>
          <t>2290895</t>
        </is>
      </c>
      <c r="G28" s="9" t="inlineStr">
        <is>
          <t>FINANCIAL</t>
        </is>
      </c>
      <c r="H28" s="9" t="inlineStr">
        <is>
          <t>SWAP</t>
        </is>
      </c>
      <c r="I28" s="9" t="inlineStr">
        <is>
          <t>Heating Degree Day</t>
        </is>
      </c>
      <c r="J28" s="9" t="inlineStr">
        <is>
          <t>PHL Airport</t>
        </is>
      </c>
      <c r="K28" s="9" t="n">
        <v/>
      </c>
      <c r="L28" s="9" t="n">
        <v/>
      </c>
      <c r="M28" s="9" t="n">
        <v/>
      </c>
      <c r="N28" s="9" t="n">
        <v>0</v>
      </c>
      <c r="O28" s="9" t="n">
        <v>2</v>
      </c>
      <c r="P28" s="10">
        <f>O28-N28</f>
        <v/>
      </c>
      <c r="Q28" s="9" t="inlineStr">
        <is>
          <t>true</t>
        </is>
      </c>
    </row>
    <row r="29">
      <c r="A29" s="9" t="inlineStr">
        <is>
          <t>unexplained_result_findetail_position.xlsx</t>
        </is>
      </c>
      <c r="B29" s="9" t="inlineStr">
        <is>
          <t>Drilldown</t>
        </is>
      </c>
      <c r="C29" s="9" t="inlineStr">
        <is>
          <t>Settlement</t>
        </is>
      </c>
      <c r="D29" s="9" t="inlineStr">
        <is>
          <t>new_post</t>
        </is>
      </c>
      <c r="E29" s="9" t="inlineStr">
        <is>
          <t>4774021</t>
        </is>
      </c>
      <c r="F29" s="9" t="inlineStr">
        <is>
          <t>2290934</t>
        </is>
      </c>
      <c r="G29" s="9" t="inlineStr">
        <is>
          <t>FINANCIAL</t>
        </is>
      </c>
      <c r="H29" s="9" t="inlineStr">
        <is>
          <t>SWAP</t>
        </is>
      </c>
      <c r="I29" s="9" t="inlineStr">
        <is>
          <t>Heating Degree Day</t>
        </is>
      </c>
      <c r="J29" s="9" t="inlineStr">
        <is>
          <t>PHL Airport</t>
        </is>
      </c>
      <c r="K29" s="9" t="n">
        <v/>
      </c>
      <c r="L29" s="9" t="n">
        <v/>
      </c>
      <c r="M29" s="9" t="n">
        <v/>
      </c>
      <c r="N29" s="9" t="n">
        <v>0</v>
      </c>
      <c r="O29" s="9" t="n">
        <v>2</v>
      </c>
      <c r="P29" s="10">
        <f>O29-N29</f>
        <v/>
      </c>
      <c r="Q29" s="9" t="inlineStr">
        <is>
          <t>true</t>
        </is>
      </c>
    </row>
    <row r="30">
      <c r="A30" s="9" t="inlineStr">
        <is>
          <t>unexplained_result_findetail_position.xlsx</t>
        </is>
      </c>
      <c r="B30" s="9" t="inlineStr">
        <is>
          <t>Drilldown</t>
        </is>
      </c>
      <c r="C30" s="9" t="inlineStr">
        <is>
          <t>Settlement</t>
        </is>
      </c>
      <c r="D30" s="9" t="inlineStr">
        <is>
          <t>new_post</t>
        </is>
      </c>
      <c r="E30" s="9" t="inlineStr">
        <is>
          <t>4776904</t>
        </is>
      </c>
      <c r="F30" s="9" t="inlineStr">
        <is>
          <t>2291827</t>
        </is>
      </c>
      <c r="G30" s="9" t="inlineStr">
        <is>
          <t>FINANCIAL</t>
        </is>
      </c>
      <c r="H30" s="9" t="inlineStr">
        <is>
          <t>SWAP</t>
        </is>
      </c>
      <c r="I30" s="9" t="inlineStr">
        <is>
          <t>Heating Degree Day</t>
        </is>
      </c>
      <c r="J30" s="9" t="inlineStr">
        <is>
          <t>Cincinatti Airport</t>
        </is>
      </c>
      <c r="K30" s="9" t="n">
        <v/>
      </c>
      <c r="L30" s="9" t="n">
        <v/>
      </c>
      <c r="M30" s="9" t="n">
        <v/>
      </c>
      <c r="N30" s="9" t="n">
        <v>0</v>
      </c>
      <c r="O30" s="9" t="n">
        <v>2</v>
      </c>
      <c r="P30" s="10">
        <f>O30-N30</f>
        <v/>
      </c>
      <c r="Q30" s="9" t="inlineStr">
        <is>
          <t>true</t>
        </is>
      </c>
    </row>
    <row r="31">
      <c r="A31" s="9" t="inlineStr">
        <is>
          <t>unexplained_result_findetail_position.xlsx</t>
        </is>
      </c>
      <c r="B31" s="9" t="inlineStr">
        <is>
          <t>Drilldown</t>
        </is>
      </c>
      <c r="C31" s="9" t="inlineStr">
        <is>
          <t>Settlement</t>
        </is>
      </c>
      <c r="D31" s="9" t="inlineStr">
        <is>
          <t>new_post</t>
        </is>
      </c>
      <c r="E31" s="9" t="inlineStr">
        <is>
          <t>4776914</t>
        </is>
      </c>
      <c r="F31" s="9" t="inlineStr">
        <is>
          <t>2291832</t>
        </is>
      </c>
      <c r="G31" s="9" t="inlineStr">
        <is>
          <t>FINANCIAL</t>
        </is>
      </c>
      <c r="H31" s="9" t="inlineStr">
        <is>
          <t>SWAP</t>
        </is>
      </c>
      <c r="I31" s="9" t="inlineStr">
        <is>
          <t>Heating Degree Day</t>
        </is>
      </c>
      <c r="J31" s="9" t="inlineStr">
        <is>
          <t>Cincinatti Airport</t>
        </is>
      </c>
      <c r="K31" s="9" t="n">
        <v/>
      </c>
      <c r="L31" s="9" t="n">
        <v/>
      </c>
      <c r="M31" s="9" t="n">
        <v/>
      </c>
      <c r="N31" s="9" t="n">
        <v>0</v>
      </c>
      <c r="O31" s="9" t="n">
        <v>2</v>
      </c>
      <c r="P31" s="10">
        <f>O31-N31</f>
        <v/>
      </c>
      <c r="Q31" s="9" t="inlineStr">
        <is>
          <t>true</t>
        </is>
      </c>
    </row>
    <row r="32">
      <c r="A32" s="9" t="inlineStr">
        <is>
          <t>unexplained_result_findetail_position.xlsx</t>
        </is>
      </c>
      <c r="B32" s="9" t="inlineStr">
        <is>
          <t>Drilldown</t>
        </is>
      </c>
      <c r="C32" s="9" t="inlineStr">
        <is>
          <t>Settlement</t>
        </is>
      </c>
      <c r="D32" s="9" t="inlineStr">
        <is>
          <t>new_post</t>
        </is>
      </c>
      <c r="E32" s="9" t="inlineStr">
        <is>
          <t>4776920</t>
        </is>
      </c>
      <c r="F32" s="9" t="inlineStr">
        <is>
          <t>2291836</t>
        </is>
      </c>
      <c r="G32" s="9" t="inlineStr">
        <is>
          <t>FINANCIAL</t>
        </is>
      </c>
      <c r="H32" s="9" t="inlineStr">
        <is>
          <t>SWAP</t>
        </is>
      </c>
      <c r="I32" s="9" t="inlineStr">
        <is>
          <t>Heating Degree Day</t>
        </is>
      </c>
      <c r="J32" s="9" t="inlineStr">
        <is>
          <t>Cincinatti Airport</t>
        </is>
      </c>
      <c r="K32" s="9" t="n">
        <v/>
      </c>
      <c r="L32" s="9" t="n">
        <v/>
      </c>
      <c r="M32" s="9" t="n">
        <v/>
      </c>
      <c r="N32" s="9" t="n">
        <v>0</v>
      </c>
      <c r="O32" s="9" t="n">
        <v>2</v>
      </c>
      <c r="P32" s="10">
        <f>O32-N32</f>
        <v/>
      </c>
      <c r="Q32" s="9" t="inlineStr">
        <is>
          <t>true</t>
        </is>
      </c>
    </row>
    <row r="33">
      <c r="A33" s="9" t="inlineStr">
        <is>
          <t>unexplained_result_findetail_position.xlsx</t>
        </is>
      </c>
      <c r="B33" s="9" t="inlineStr">
        <is>
          <t>Drilldown</t>
        </is>
      </c>
      <c r="C33" s="9" t="inlineStr">
        <is>
          <t>Settlement</t>
        </is>
      </c>
      <c r="D33" s="9" t="inlineStr">
        <is>
          <t>new_post</t>
        </is>
      </c>
      <c r="E33" s="9" t="inlineStr">
        <is>
          <t>4778254</t>
        </is>
      </c>
      <c r="F33" s="9" t="inlineStr">
        <is>
          <t>2292072</t>
        </is>
      </c>
      <c r="G33" s="9" t="inlineStr">
        <is>
          <t>FINANCIAL</t>
        </is>
      </c>
      <c r="H33" s="9" t="inlineStr">
        <is>
          <t>SWAP</t>
        </is>
      </c>
      <c r="I33" s="9" t="inlineStr">
        <is>
          <t>Heating Degree Day</t>
        </is>
      </c>
      <c r="J33" s="9" t="inlineStr">
        <is>
          <t>Cincinatti Airport</t>
        </is>
      </c>
      <c r="K33" s="9" t="n">
        <v/>
      </c>
      <c r="L33" s="9" t="n">
        <v/>
      </c>
      <c r="M33" s="9" t="n">
        <v/>
      </c>
      <c r="N33" s="9" t="n">
        <v>0</v>
      </c>
      <c r="O33" s="9" t="n">
        <v>2</v>
      </c>
      <c r="P33" s="10">
        <f>O33-N33</f>
        <v/>
      </c>
      <c r="Q33" s="9" t="inlineStr">
        <is>
          <t>true</t>
        </is>
      </c>
    </row>
    <row r="34">
      <c r="A34" s="9" t="inlineStr">
        <is>
          <t>unexplained_result_findetail_position.xlsx</t>
        </is>
      </c>
      <c r="B34" s="9" t="inlineStr">
        <is>
          <t>Drilldown</t>
        </is>
      </c>
      <c r="C34" s="9" t="inlineStr">
        <is>
          <t>Settlement</t>
        </is>
      </c>
      <c r="D34" s="9" t="inlineStr">
        <is>
          <t>new_post</t>
        </is>
      </c>
      <c r="E34" s="9" t="inlineStr">
        <is>
          <t>4778271</t>
        </is>
      </c>
      <c r="F34" s="9" t="inlineStr">
        <is>
          <t>2292081</t>
        </is>
      </c>
      <c r="G34" s="9" t="inlineStr">
        <is>
          <t>FINANCIAL</t>
        </is>
      </c>
      <c r="H34" s="9" t="inlineStr">
        <is>
          <t>SWAP</t>
        </is>
      </c>
      <c r="I34" s="9" t="inlineStr">
        <is>
          <t>Heating Degree Day</t>
        </is>
      </c>
      <c r="J34" s="9" t="inlineStr">
        <is>
          <t>Cincinatti Airport</t>
        </is>
      </c>
      <c r="K34" s="9" t="n">
        <v/>
      </c>
      <c r="L34" s="9" t="n">
        <v/>
      </c>
      <c r="M34" s="9" t="n">
        <v/>
      </c>
      <c r="N34" s="9" t="n">
        <v>0</v>
      </c>
      <c r="O34" s="9" t="n">
        <v>2</v>
      </c>
      <c r="P34" s="10">
        <f>O34-N34</f>
        <v/>
      </c>
      <c r="Q34" s="9" t="inlineStr">
        <is>
          <t>true</t>
        </is>
      </c>
    </row>
    <row r="35">
      <c r="A35" s="9" t="inlineStr">
        <is>
          <t>unexplained_result_findetail_position.xlsx</t>
        </is>
      </c>
      <c r="B35" s="9" t="inlineStr">
        <is>
          <t>Drilldown</t>
        </is>
      </c>
      <c r="C35" s="9" t="inlineStr">
        <is>
          <t>Settlement</t>
        </is>
      </c>
      <c r="D35" s="9" t="inlineStr">
        <is>
          <t>new_post</t>
        </is>
      </c>
      <c r="E35" s="9" t="inlineStr">
        <is>
          <t>4778272</t>
        </is>
      </c>
      <c r="F35" s="9" t="inlineStr">
        <is>
          <t>2292080</t>
        </is>
      </c>
      <c r="G35" s="9" t="inlineStr">
        <is>
          <t>FINANCIAL</t>
        </is>
      </c>
      <c r="H35" s="9" t="inlineStr">
        <is>
          <t>SWAP</t>
        </is>
      </c>
      <c r="I35" s="9" t="inlineStr">
        <is>
          <t>Heating Degree Day</t>
        </is>
      </c>
      <c r="J35" s="9" t="inlineStr">
        <is>
          <t>Cincinatti Airport</t>
        </is>
      </c>
      <c r="K35" s="9" t="n">
        <v/>
      </c>
      <c r="L35" s="9" t="n">
        <v/>
      </c>
      <c r="M35" s="9" t="n">
        <v/>
      </c>
      <c r="N35" s="9" t="n">
        <v>0</v>
      </c>
      <c r="O35" s="9" t="n">
        <v>2</v>
      </c>
      <c r="P35" s="10">
        <f>O35-N35</f>
        <v/>
      </c>
      <c r="Q35" s="9" t="inlineStr">
        <is>
          <t>true</t>
        </is>
      </c>
    </row>
    <row r="36">
      <c r="A36" s="9" t="inlineStr">
        <is>
          <t>unexplained_result_findetail_position.xlsx</t>
        </is>
      </c>
      <c r="B36" s="9" t="inlineStr">
        <is>
          <t>Drilldown</t>
        </is>
      </c>
      <c r="C36" s="9" t="inlineStr">
        <is>
          <t>Settlement</t>
        </is>
      </c>
      <c r="D36" s="9" t="inlineStr">
        <is>
          <t>new_post</t>
        </is>
      </c>
      <c r="E36" s="9" t="inlineStr">
        <is>
          <t>4778279</t>
        </is>
      </c>
      <c r="F36" s="9" t="inlineStr">
        <is>
          <t>2292084</t>
        </is>
      </c>
      <c r="G36" s="9" t="inlineStr">
        <is>
          <t>FINANCIAL</t>
        </is>
      </c>
      <c r="H36" s="9" t="inlineStr">
        <is>
          <t>SWAP</t>
        </is>
      </c>
      <c r="I36" s="9" t="inlineStr">
        <is>
          <t>Heating Degree Day</t>
        </is>
      </c>
      <c r="J36" s="9" t="inlineStr">
        <is>
          <t>Cincinatti Airport</t>
        </is>
      </c>
      <c r="K36" s="9" t="n">
        <v/>
      </c>
      <c r="L36" s="9" t="n">
        <v/>
      </c>
      <c r="M36" s="9" t="n">
        <v/>
      </c>
      <c r="N36" s="9" t="n">
        <v>0</v>
      </c>
      <c r="O36" s="9" t="n">
        <v>2</v>
      </c>
      <c r="P36" s="10">
        <f>O36-N36</f>
        <v/>
      </c>
      <c r="Q36" s="9" t="inlineStr">
        <is>
          <t>true</t>
        </is>
      </c>
    </row>
    <row r="37">
      <c r="A37" s="9" t="inlineStr">
        <is>
          <t>unexplained_result_findetail_position.xlsx</t>
        </is>
      </c>
      <c r="B37" s="9" t="inlineStr">
        <is>
          <t>Drilldown</t>
        </is>
      </c>
      <c r="C37" s="9" t="inlineStr">
        <is>
          <t>Settlement</t>
        </is>
      </c>
      <c r="D37" s="9" t="inlineStr">
        <is>
          <t>new_post</t>
        </is>
      </c>
      <c r="E37" s="9" t="inlineStr">
        <is>
          <t>4778295</t>
        </is>
      </c>
      <c r="F37" s="9" t="inlineStr">
        <is>
          <t>2292093</t>
        </is>
      </c>
      <c r="G37" s="9" t="inlineStr">
        <is>
          <t>FINANCIAL</t>
        </is>
      </c>
      <c r="H37" s="9" t="inlineStr">
        <is>
          <t>SWAP</t>
        </is>
      </c>
      <c r="I37" s="9" t="inlineStr">
        <is>
          <t>Heating Degree Day</t>
        </is>
      </c>
      <c r="J37" s="9" t="inlineStr">
        <is>
          <t>Cincinatti Airport</t>
        </is>
      </c>
      <c r="K37" s="9" t="n">
        <v/>
      </c>
      <c r="L37" s="9" t="n">
        <v/>
      </c>
      <c r="M37" s="9" t="n">
        <v/>
      </c>
      <c r="N37" s="9" t="n">
        <v>0</v>
      </c>
      <c r="O37" s="9" t="n">
        <v>2</v>
      </c>
      <c r="P37" s="10">
        <f>O37-N37</f>
        <v/>
      </c>
      <c r="Q37" s="9" t="inlineStr">
        <is>
          <t>true</t>
        </is>
      </c>
    </row>
    <row r="38">
      <c r="A38" s="9" t="inlineStr">
        <is>
          <t>unexplained_result_findetail_position.xlsx</t>
        </is>
      </c>
      <c r="B38" s="9" t="inlineStr">
        <is>
          <t>Drilldown</t>
        </is>
      </c>
      <c r="C38" s="9" t="inlineStr">
        <is>
          <t>Settlement</t>
        </is>
      </c>
      <c r="D38" s="9" t="inlineStr">
        <is>
          <t>new_post</t>
        </is>
      </c>
      <c r="E38" s="9" t="inlineStr">
        <is>
          <t>4778297</t>
        </is>
      </c>
      <c r="F38" s="9" t="inlineStr">
        <is>
          <t>2292092</t>
        </is>
      </c>
      <c r="G38" s="9" t="inlineStr">
        <is>
          <t>FINANCIAL</t>
        </is>
      </c>
      <c r="H38" s="9" t="inlineStr">
        <is>
          <t>SWAP</t>
        </is>
      </c>
      <c r="I38" s="9" t="inlineStr">
        <is>
          <t>Heating Degree Day</t>
        </is>
      </c>
      <c r="J38" s="9" t="inlineStr">
        <is>
          <t>Cincinatti Airport</t>
        </is>
      </c>
      <c r="K38" s="9" t="n">
        <v/>
      </c>
      <c r="L38" s="9" t="n">
        <v/>
      </c>
      <c r="M38" s="9" t="n">
        <v/>
      </c>
      <c r="N38" s="9" t="n">
        <v>0</v>
      </c>
      <c r="O38" s="9" t="n">
        <v>2</v>
      </c>
      <c r="P38" s="10">
        <f>O38-N38</f>
        <v/>
      </c>
      <c r="Q38" s="9" t="inlineStr">
        <is>
          <t>true</t>
        </is>
      </c>
    </row>
    <row r="39">
      <c r="A39" s="9" t="inlineStr">
        <is>
          <t>unexplained_result_findetail_position.xlsx</t>
        </is>
      </c>
      <c r="B39" s="9" t="inlineStr">
        <is>
          <t>Drilldown</t>
        </is>
      </c>
      <c r="C39" s="9" t="inlineStr">
        <is>
          <t>Settlement</t>
        </is>
      </c>
      <c r="D39" s="9" t="inlineStr">
        <is>
          <t>new_post</t>
        </is>
      </c>
      <c r="E39" s="9" t="inlineStr">
        <is>
          <t>4861605</t>
        </is>
      </c>
      <c r="F39" s="9" t="inlineStr">
        <is>
          <t>2320121</t>
        </is>
      </c>
      <c r="G39" s="9" t="inlineStr">
        <is>
          <t>FINANCIAL</t>
        </is>
      </c>
      <c r="H39" s="9" t="inlineStr">
        <is>
          <t>SWAP</t>
        </is>
      </c>
      <c r="I39" s="9" t="inlineStr">
        <is>
          <t>Heating Degree Day</t>
        </is>
      </c>
      <c r="J39" s="9" t="inlineStr">
        <is>
          <t>Cincinatti Airport</t>
        </is>
      </c>
      <c r="K39" s="9" t="n">
        <v/>
      </c>
      <c r="L39" s="9" t="n">
        <v/>
      </c>
      <c r="M39" s="9" t="n">
        <v/>
      </c>
      <c r="N39" s="9" t="n">
        <v>0</v>
      </c>
      <c r="O39" s="9" t="n">
        <v>2</v>
      </c>
      <c r="P39" s="10">
        <f>O39-N39</f>
        <v/>
      </c>
      <c r="Q39" s="9" t="inlineStr">
        <is>
          <t>true</t>
        </is>
      </c>
    </row>
    <row r="40">
      <c r="A40" s="9" t="inlineStr">
        <is>
          <t>unexplained_result_findetail_position.xlsx</t>
        </is>
      </c>
      <c r="B40" s="9" t="inlineStr">
        <is>
          <t>Drilldown</t>
        </is>
      </c>
      <c r="C40" s="9" t="inlineStr">
        <is>
          <t>Settlement</t>
        </is>
      </c>
      <c r="D40" s="9" t="inlineStr">
        <is>
          <t>new_post</t>
        </is>
      </c>
      <c r="E40" s="9" t="inlineStr">
        <is>
          <t>4861624</t>
        </is>
      </c>
      <c r="F40" s="9" t="inlineStr">
        <is>
          <t>2320140</t>
        </is>
      </c>
      <c r="G40" s="9" t="inlineStr">
        <is>
          <t>FINANCIAL</t>
        </is>
      </c>
      <c r="H40" s="9" t="inlineStr">
        <is>
          <t>SWAP</t>
        </is>
      </c>
      <c r="I40" s="9" t="inlineStr">
        <is>
          <t>Heating Degree Day</t>
        </is>
      </c>
      <c r="J40" s="9" t="inlineStr">
        <is>
          <t>Cincinatti Airport</t>
        </is>
      </c>
      <c r="K40" s="9" t="n">
        <v/>
      </c>
      <c r="L40" s="9" t="n">
        <v/>
      </c>
      <c r="M40" s="9" t="n">
        <v/>
      </c>
      <c r="N40" s="9" t="n">
        <v>0</v>
      </c>
      <c r="O40" s="9" t="n">
        <v>2</v>
      </c>
      <c r="P40" s="10">
        <f>O40-N40</f>
        <v/>
      </c>
      <c r="Q40" s="9" t="inlineStr">
        <is>
          <t>true</t>
        </is>
      </c>
    </row>
    <row r="41">
      <c r="A41" s="9" t="inlineStr">
        <is>
          <t>unexplained_result_findetail_position.xlsx</t>
        </is>
      </c>
      <c r="B41" s="9" t="inlineStr">
        <is>
          <t>Drilldown</t>
        </is>
      </c>
      <c r="C41" s="9" t="inlineStr">
        <is>
          <t>Settlement</t>
        </is>
      </c>
      <c r="D41" s="9" t="inlineStr">
        <is>
          <t>new_post</t>
        </is>
      </c>
      <c r="E41" s="9" t="inlineStr">
        <is>
          <t>4863095</t>
        </is>
      </c>
      <c r="F41" s="9" t="inlineStr">
        <is>
          <t>2320256</t>
        </is>
      </c>
      <c r="G41" s="9" t="inlineStr">
        <is>
          <t>FINANCIAL</t>
        </is>
      </c>
      <c r="H41" s="9" t="inlineStr">
        <is>
          <t>SWAP</t>
        </is>
      </c>
      <c r="I41" s="9" t="inlineStr">
        <is>
          <t>Heating Degree Day</t>
        </is>
      </c>
      <c r="J41" s="9" t="inlineStr">
        <is>
          <t>Cincinatti Airport</t>
        </is>
      </c>
      <c r="K41" s="9" t="n">
        <v/>
      </c>
      <c r="L41" s="9" t="n">
        <v/>
      </c>
      <c r="M41" s="9" t="n">
        <v/>
      </c>
      <c r="N41" s="9" t="n">
        <v>0</v>
      </c>
      <c r="O41" s="9" t="n">
        <v>2</v>
      </c>
      <c r="P41" s="10">
        <f>O41-N41</f>
        <v/>
      </c>
      <c r="Q41" s="9" t="inlineStr">
        <is>
          <t>true</t>
        </is>
      </c>
    </row>
    <row r="42">
      <c r="A42" s="9" t="inlineStr">
        <is>
          <t>unexplained_result_findetail_position.xlsx</t>
        </is>
      </c>
      <c r="B42" s="9" t="inlineStr">
        <is>
          <t>Drilldown</t>
        </is>
      </c>
      <c r="C42" s="9" t="inlineStr">
        <is>
          <t>Settlement</t>
        </is>
      </c>
      <c r="D42" s="9" t="inlineStr">
        <is>
          <t>new_post</t>
        </is>
      </c>
      <c r="E42" s="9" t="inlineStr">
        <is>
          <t>4863103</t>
        </is>
      </c>
      <c r="F42" s="9" t="inlineStr">
        <is>
          <t>2320264</t>
        </is>
      </c>
      <c r="G42" s="9" t="inlineStr">
        <is>
          <t>FINANCIAL</t>
        </is>
      </c>
      <c r="H42" s="9" t="inlineStr">
        <is>
          <t>SWAP</t>
        </is>
      </c>
      <c r="I42" s="9" t="inlineStr">
        <is>
          <t>Heating Degree Day</t>
        </is>
      </c>
      <c r="J42" s="9" t="inlineStr">
        <is>
          <t>Cincinatti Airport</t>
        </is>
      </c>
      <c r="K42" s="9" t="n">
        <v/>
      </c>
      <c r="L42" s="9" t="n">
        <v/>
      </c>
      <c r="M42" s="9" t="n">
        <v/>
      </c>
      <c r="N42" s="9" t="n">
        <v>0</v>
      </c>
      <c r="O42" s="9" t="n">
        <v>2</v>
      </c>
      <c r="P42" s="10">
        <f>O42-N42</f>
        <v/>
      </c>
      <c r="Q42" s="9" t="inlineStr">
        <is>
          <t>true</t>
        </is>
      </c>
    </row>
    <row r="43">
      <c r="A43" s="9" t="inlineStr">
        <is>
          <t>unexplained_result_findetail_position.xlsx</t>
        </is>
      </c>
      <c r="B43" s="9" t="inlineStr">
        <is>
          <t>Drilldown</t>
        </is>
      </c>
      <c r="C43" s="9" t="inlineStr">
        <is>
          <t>Settlement</t>
        </is>
      </c>
      <c r="D43" s="9" t="inlineStr">
        <is>
          <t>new_post</t>
        </is>
      </c>
      <c r="E43" s="9" t="inlineStr">
        <is>
          <t>4863110</t>
        </is>
      </c>
      <c r="F43" s="9" t="inlineStr">
        <is>
          <t>2320271</t>
        </is>
      </c>
      <c r="G43" s="9" t="inlineStr">
        <is>
          <t>FINANCIAL</t>
        </is>
      </c>
      <c r="H43" s="9" t="inlineStr">
        <is>
          <t>SWAP</t>
        </is>
      </c>
      <c r="I43" s="9" t="inlineStr">
        <is>
          <t>Heating Degree Day</t>
        </is>
      </c>
      <c r="J43" s="9" t="inlineStr">
        <is>
          <t>Cincinatti Airport</t>
        </is>
      </c>
      <c r="K43" s="9" t="n">
        <v/>
      </c>
      <c r="L43" s="9" t="n">
        <v/>
      </c>
      <c r="M43" s="9" t="n">
        <v/>
      </c>
      <c r="N43" s="9" t="n">
        <v>0</v>
      </c>
      <c r="O43" s="9" t="n">
        <v>2</v>
      </c>
      <c r="P43" s="10">
        <f>O43-N43</f>
        <v/>
      </c>
      <c r="Q43" s="9" t="inlineStr">
        <is>
          <t>true</t>
        </is>
      </c>
    </row>
    <row r="44">
      <c r="A44" s="9" t="inlineStr">
        <is>
          <t>unexplained_result_findetail_position.xlsx</t>
        </is>
      </c>
      <c r="B44" s="9" t="inlineStr">
        <is>
          <t>Drilldown</t>
        </is>
      </c>
      <c r="C44" s="9" t="inlineStr">
        <is>
          <t>Settlement</t>
        </is>
      </c>
      <c r="D44" s="9" t="inlineStr">
        <is>
          <t>new_post</t>
        </is>
      </c>
      <c r="E44" s="9" t="inlineStr">
        <is>
          <t>4863114</t>
        </is>
      </c>
      <c r="F44" s="9" t="inlineStr">
        <is>
          <t>2320275</t>
        </is>
      </c>
      <c r="G44" s="9" t="inlineStr">
        <is>
          <t>FINANCIAL</t>
        </is>
      </c>
      <c r="H44" s="9" t="inlineStr">
        <is>
          <t>SWAP</t>
        </is>
      </c>
      <c r="I44" s="9" t="inlineStr">
        <is>
          <t>Heating Degree Day</t>
        </is>
      </c>
      <c r="J44" s="9" t="inlineStr">
        <is>
          <t>Cincinatti Airport</t>
        </is>
      </c>
      <c r="K44" s="9" t="n">
        <v/>
      </c>
      <c r="L44" s="9" t="n">
        <v/>
      </c>
      <c r="M44" s="9" t="n">
        <v/>
      </c>
      <c r="N44" s="9" t="n">
        <v>0</v>
      </c>
      <c r="O44" s="9" t="n">
        <v>2</v>
      </c>
      <c r="P44" s="10">
        <f>O44-N44</f>
        <v/>
      </c>
      <c r="Q44" s="9" t="inlineStr">
        <is>
          <t>true</t>
        </is>
      </c>
    </row>
    <row r="45">
      <c r="A45" s="8" t="inlineStr">
        <is>
          <t>ISSUE - Missing position (post)  (1 rows)</t>
        </is>
      </c>
    </row>
    <row r="46">
      <c r="A46" s="11" t="inlineStr">
        <is>
          <t>unexplained_result_findetail_position.xlsx</t>
        </is>
      </c>
      <c r="B46" s="11" t="inlineStr">
        <is>
          <t>Drilldown</t>
        </is>
      </c>
      <c r="C46" s="11" t="inlineStr">
        <is>
          <t>Settlement</t>
        </is>
      </c>
      <c r="D46" s="11" t="inlineStr">
        <is>
          <t>missing_post</t>
        </is>
      </c>
      <c r="E46" s="11" t="n">
        <v>3247645</v>
      </c>
      <c r="F46" s="11" t="inlineStr">
        <is>
          <t>1787963</t>
        </is>
      </c>
      <c r="G46" s="11" t="inlineStr">
        <is>
          <t>PHYSICAL</t>
        </is>
      </c>
      <c r="H46" s="11" t="inlineStr">
        <is>
          <t>BUY</t>
        </is>
      </c>
      <c r="I46" s="11" t="inlineStr">
        <is>
          <t>Natural Gas</t>
        </is>
      </c>
      <c r="J46" s="11" t="inlineStr">
        <is>
          <t>Houston Ship Channel</t>
        </is>
      </c>
      <c r="K46" s="11" t="n">
        <v/>
      </c>
      <c r="L46" s="11" t="n">
        <v/>
      </c>
      <c r="M46" s="11" t="n">
        <v/>
      </c>
      <c r="N46" s="11" t="n">
        <v>1</v>
      </c>
      <c r="O46" s="11" t="n">
        <v>0</v>
      </c>
      <c r="P46" s="12">
        <f>O46-N46</f>
        <v/>
      </c>
      <c r="Q46" s="11" t="inlineStr">
        <is>
          <t>true</t>
        </is>
      </c>
    </row>
    <row r="47">
      <c r="A47" s="8" t="inlineStr">
        <is>
          <t>FALSE - no issue  (3 rows)</t>
        </is>
      </c>
    </row>
    <row r="48">
      <c r="A48" s="13" t="inlineStr">
        <is>
          <t>unexplained_result_findetail_position.xlsx</t>
        </is>
      </c>
      <c r="B48" s="13" t="inlineStr">
        <is>
          <t>Drilldown</t>
        </is>
      </c>
      <c r="C48" s="13" t="inlineStr">
        <is>
          <t>Settlement</t>
        </is>
      </c>
      <c r="D48" s="13" t="inlineStr">
        <is>
          <t>mismatch</t>
        </is>
      </c>
      <c r="E48" s="13" t="n">
        <v>1248020</v>
      </c>
      <c r="F48" s="13" t="inlineStr">
        <is>
          <t>1083565</t>
        </is>
      </c>
      <c r="G48" s="13" t="inlineStr">
        <is>
          <t>PHYSICAL</t>
        </is>
      </c>
      <c r="H48" s="13" t="inlineStr">
        <is>
          <t>BUY</t>
        </is>
      </c>
      <c r="I48" s="13" t="inlineStr">
        <is>
          <t>Gas Storage</t>
        </is>
      </c>
      <c r="J48" s="13" t="inlineStr">
        <is>
          <t>Chicago City Gates</t>
        </is>
      </c>
      <c r="K48" s="13" t="n">
        <v/>
      </c>
      <c r="L48" s="13" t="n">
        <v/>
      </c>
      <c r="M48" s="13" t="n">
        <v/>
      </c>
      <c r="N48" s="13" t="n">
        <v>5</v>
      </c>
      <c r="O48" s="13" t="n">
        <v>5</v>
      </c>
      <c r="P48" s="14">
        <f>O48-N48</f>
        <v/>
      </c>
      <c r="Q48" s="13" t="inlineStr">
        <is>
          <t>false</t>
        </is>
      </c>
    </row>
    <row r="49">
      <c r="A49" s="13" t="inlineStr">
        <is>
          <t>unexplained_result_findetail_position.xlsx</t>
        </is>
      </c>
      <c r="B49" s="13" t="inlineStr">
        <is>
          <t>Drilldown</t>
        </is>
      </c>
      <c r="C49" s="13" t="inlineStr">
        <is>
          <t>Settlement</t>
        </is>
      </c>
      <c r="D49" s="13" t="inlineStr">
        <is>
          <t>mismatch</t>
        </is>
      </c>
      <c r="E49" s="13" t="n">
        <v>2706967</v>
      </c>
      <c r="F49" s="13" t="inlineStr">
        <is>
          <t>1634623</t>
        </is>
      </c>
      <c r="G49" s="13" t="inlineStr">
        <is>
          <t>PHYSICAL</t>
        </is>
      </c>
      <c r="H49" s="13" t="inlineStr">
        <is>
          <t>BUY</t>
        </is>
      </c>
      <c r="I49" s="13" t="inlineStr">
        <is>
          <t>Gas Storage</t>
        </is>
      </c>
      <c r="J49" s="13" t="inlineStr">
        <is>
          <t>Worsham Storage</t>
        </is>
      </c>
      <c r="K49" s="13" t="n">
        <v/>
      </c>
      <c r="L49" s="13" t="n">
        <v/>
      </c>
      <c r="M49" s="13" t="n">
        <v/>
      </c>
      <c r="N49" s="13" t="n">
        <v>1</v>
      </c>
      <c r="O49" s="13" t="n">
        <v>1</v>
      </c>
      <c r="P49" s="14">
        <f>O49-N49</f>
        <v/>
      </c>
      <c r="Q49" s="13" t="inlineStr">
        <is>
          <t>false</t>
        </is>
      </c>
    </row>
    <row r="50">
      <c r="A50" s="13" t="inlineStr">
        <is>
          <t>unexplained_result_findetail_position.xlsx</t>
        </is>
      </c>
      <c r="B50" s="13" t="inlineStr">
        <is>
          <t>Drilldown</t>
        </is>
      </c>
      <c r="C50" s="13" t="inlineStr">
        <is>
          <t>Settlement</t>
        </is>
      </c>
      <c r="D50" s="13" t="inlineStr">
        <is>
          <t>mismatch</t>
        </is>
      </c>
      <c r="E50" s="13" t="n">
        <v>3718624</v>
      </c>
      <c r="F50" s="13" t="inlineStr">
        <is>
          <t>1953951</t>
        </is>
      </c>
      <c r="G50" s="13" t="inlineStr">
        <is>
          <t>PHYSICAL</t>
        </is>
      </c>
      <c r="H50" s="13" t="inlineStr">
        <is>
          <t>BUY</t>
        </is>
      </c>
      <c r="I50" s="13" t="inlineStr">
        <is>
          <t>REC Texas</t>
        </is>
      </c>
      <c r="J50" s="13" t="inlineStr">
        <is>
          <t>REC V2026</t>
        </is>
      </c>
      <c r="K50" s="13" t="n">
        <v/>
      </c>
      <c r="L50" s="13" t="n">
        <v/>
      </c>
      <c r="M50" s="13" t="n">
        <v/>
      </c>
      <c r="N50" s="13" t="n">
        <v>1</v>
      </c>
      <c r="O50" s="13" t="n">
        <v>1</v>
      </c>
      <c r="P50" s="14">
        <f>O50-N50</f>
        <v/>
      </c>
      <c r="Q50" s="13" t="inlineStr">
        <is>
          <t>false</t>
        </is>
      </c>
    </row>
  </sheetData>
  <mergeCells count="4">
    <mergeCell ref="A45:Q45"/>
    <mergeCell ref="A47:Q47"/>
    <mergeCell ref="A5:Q5"/>
    <mergeCell ref="A9:Q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2026-08-11T07:22:16Z</dcterms:created>
  <dcterms:modified xsi:type="dcterms:W3CDTF">2026-08-11T07:22:16Z</dcterms:modified>
</cp:coreProperties>
</file>